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ustomProperty3.bin" ContentType="application/vnd.openxmlformats-officedocument.spreadsheetml.customProperty"/>
  <Override PartName="/xl/customProperty4.bin" ContentType="application/vnd.openxmlformats-officedocument.spreadsheetml.customProperty"/>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ustomProperty5.bin" ContentType="application/vnd.openxmlformats-officedocument.spreadsheetml.customProperty"/>
  <Override PartName="/xl/customProperty6.bin" ContentType="application/vnd.openxmlformats-officedocument.spreadsheetml.customProperty"/>
  <Override PartName="/xl/drawings/drawing3.xml" ContentType="application/vnd.openxmlformats-officedocument.drawing+xml"/>
  <Override PartName="/xl/customProperty7.bin" ContentType="application/vnd.openxmlformats-officedocument.spreadsheetml.customProperty"/>
  <Override PartName="/xl/customProperty8.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zagreb-1001\data\Management\BP\BP 2025\"/>
    </mc:Choice>
  </mc:AlternateContent>
  <xr:revisionPtr revIDLastSave="0" documentId="13_ncr:1_{27307AD8-5A46-4B24-B5FD-38BC6EB9F34D}" xr6:coauthVersionLast="47" xr6:coauthVersionMax="47" xr10:uidLastSave="{00000000-0000-0000-0000-000000000000}"/>
  <bookViews>
    <workbookView xWindow="-120" yWindow="-120" windowWidth="29040" windowHeight="17640" xr2:uid="{00000000-000D-0000-FFFF-FFFF00000000}"/>
  </bookViews>
  <sheets>
    <sheet name="BP Actions" sheetId="1" r:id="rId1"/>
    <sheet name="High-level overview" sheetId="3" r:id="rId2"/>
    <sheet name="Quick guide" sheetId="4" r:id="rId3"/>
    <sheet name="Backend" sheetId="2" state="hidden" r:id="rId4"/>
  </sheets>
  <definedNames>
    <definedName name="_">Backend!$M$3:$M$18</definedName>
    <definedName name="Customer_First_">Backend!$J$3:$J$6</definedName>
    <definedName name="Employees___Learning_">Backend!$L$3:$L$6</definedName>
    <definedName name="Finance_">Backend!$I$3:$I$6</definedName>
    <definedName name="Internal_processes_">Backend!$K$3:$K$6</definedName>
    <definedName name="Slicer_BSC_Focus_area">#N/A</definedName>
    <definedName name="Slicer_BSC_Focus_area1">#N/A</definedName>
    <definedName name="Slicer_BSC_Perspective">#N/A</definedName>
    <definedName name="Slicer_BSC_Perspective1">#N/A</definedName>
    <definedName name="Slicer_CSF_Title">#N/A</definedName>
    <definedName name="Slicer_CSF_Title1">#N/A</definedName>
    <definedName name="Slicer_CSF_Type">#N/A</definedName>
    <definedName name="Slicer_CSF_Type1">#N/A</definedName>
    <definedName name="Slicer_Responsible">#N/A</definedName>
    <definedName name="Slicer_Responsible1">#N/A</definedName>
    <definedName name="Table1">Table3[]</definedName>
  </definedNames>
  <calcPr calcId="191029" concurrentManualCount="12"/>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4:slicerCache r:id="rId10"/>
        <x14:slicerCache r:id="rId11"/>
        <x14:slicerCache r:id="rId12"/>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7" i="2" l="1"/>
  <c r="I25" i="2"/>
  <c r="I26" i="2"/>
  <c r="I24" i="2"/>
  <c r="D12" i="3" l="1"/>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J12" i="3" l="1"/>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Nicolai Høgh</author>
    <author>Ivan Protega</author>
    <author>Drazen Eldic</author>
  </authors>
  <commentList>
    <comment ref="B9" authorId="0" shapeId="0" xr:uid="{00000000-0006-0000-0000-000001000000}">
      <text>
        <r>
          <rPr>
            <sz val="9"/>
            <color indexed="81"/>
            <rFont val="Tahoma"/>
            <family val="2"/>
          </rPr>
          <t>Color indicate which BSC perspective and focus area the CSF belongs. No color = missing/wrong input</t>
        </r>
      </text>
    </comment>
    <comment ref="C9" authorId="0" shapeId="0" xr:uid="{00000000-0006-0000-0000-000002000000}">
      <text>
        <r>
          <rPr>
            <sz val="9"/>
            <color indexed="81"/>
            <rFont val="Tahoma"/>
            <family val="2"/>
          </rPr>
          <t xml:space="preserve">Indicate as </t>
        </r>
        <r>
          <rPr>
            <b/>
            <sz val="9"/>
            <color indexed="81"/>
            <rFont val="Tahoma"/>
            <family val="2"/>
          </rPr>
          <t>deliverable</t>
        </r>
        <r>
          <rPr>
            <sz val="9"/>
            <color indexed="81"/>
            <rFont val="Tahoma"/>
            <family val="2"/>
          </rPr>
          <t xml:space="preserve"> (whole number) or </t>
        </r>
        <r>
          <rPr>
            <b/>
            <sz val="9"/>
            <color indexed="81"/>
            <rFont val="Tahoma"/>
            <family val="2"/>
          </rPr>
          <t xml:space="preserve">action </t>
        </r>
        <r>
          <rPr>
            <sz val="9"/>
            <color indexed="81"/>
            <rFont val="Tahoma"/>
            <family val="2"/>
          </rPr>
          <t>to succeed with deliverable (separated with ".").</t>
        </r>
      </text>
    </comment>
    <comment ref="D9" authorId="0" shapeId="0" xr:uid="{00000000-0006-0000-0000-000003000000}">
      <text>
        <r>
          <rPr>
            <sz val="9"/>
            <color indexed="81"/>
            <rFont val="Tahoma"/>
            <family val="2"/>
          </rPr>
          <t xml:space="preserve">Select Balanced Scorecard </t>
        </r>
        <r>
          <rPr>
            <b/>
            <sz val="9"/>
            <color indexed="81"/>
            <rFont val="Tahoma"/>
            <family val="2"/>
          </rPr>
          <t>Perspective</t>
        </r>
        <r>
          <rPr>
            <sz val="9"/>
            <color indexed="81"/>
            <rFont val="Tahoma"/>
            <family val="2"/>
          </rPr>
          <t xml:space="preserve"> from drop-down. (linked to BSC Focus area)</t>
        </r>
      </text>
    </comment>
    <comment ref="E9" authorId="0" shapeId="0" xr:uid="{00000000-0006-0000-0000-000004000000}">
      <text>
        <r>
          <rPr>
            <sz val="9"/>
            <color indexed="81"/>
            <rFont val="Tahoma"/>
            <family val="2"/>
          </rPr>
          <t xml:space="preserve">Select Balanced Scorecard </t>
        </r>
        <r>
          <rPr>
            <b/>
            <sz val="9"/>
            <color indexed="81"/>
            <rFont val="Tahoma"/>
            <family val="2"/>
          </rPr>
          <t xml:space="preserve">Focus Area </t>
        </r>
        <r>
          <rPr>
            <sz val="9"/>
            <color indexed="81"/>
            <rFont val="Tahoma"/>
            <family val="2"/>
          </rPr>
          <t>from drop-down. (linked to BSC Perpective)</t>
        </r>
      </text>
    </comment>
    <comment ref="F9" authorId="0" shapeId="0" xr:uid="{00000000-0006-0000-0000-000005000000}">
      <text>
        <r>
          <rPr>
            <sz val="9"/>
            <color indexed="81"/>
            <rFont val="Tahoma"/>
            <family val="2"/>
          </rPr>
          <t>Select CSF type in drop-down.</t>
        </r>
      </text>
    </comment>
    <comment ref="G9" authorId="0" shapeId="0" xr:uid="{00000000-0006-0000-0000-000006000000}">
      <text>
        <r>
          <rPr>
            <sz val="9"/>
            <color indexed="81"/>
            <rFont val="Tahoma"/>
            <family val="2"/>
          </rPr>
          <t xml:space="preserve">Type in CSF title. </t>
        </r>
        <r>
          <rPr>
            <b/>
            <sz val="9"/>
            <color indexed="81"/>
            <rFont val="Tahoma"/>
            <family val="2"/>
          </rPr>
          <t>OBS:</t>
        </r>
        <r>
          <rPr>
            <sz val="9"/>
            <color indexed="81"/>
            <rFont val="Tahoma"/>
            <family val="2"/>
          </rPr>
          <t xml:space="preserve"> Repeat in all rows with actions for CSF, for filter and slicers to work (above).
</t>
        </r>
      </text>
    </comment>
    <comment ref="H9" authorId="0" shapeId="0" xr:uid="{00000000-0006-0000-0000-000007000000}">
      <text>
        <r>
          <rPr>
            <u/>
            <sz val="9"/>
            <color indexed="81"/>
            <rFont val="Tahoma"/>
            <family val="2"/>
          </rPr>
          <t xml:space="preserve">Example: CSF title (1) and actions + sub-actions to succeed
</t>
        </r>
        <r>
          <rPr>
            <b/>
            <sz val="9"/>
            <color indexed="81"/>
            <rFont val="Tahoma"/>
            <family val="2"/>
          </rPr>
          <t>1) Implement DM 3.0</t>
        </r>
        <r>
          <rPr>
            <sz val="9"/>
            <color indexed="81"/>
            <rFont val="Tahoma"/>
            <family val="2"/>
          </rPr>
          <t xml:space="preserve"> - CSF from FY20
1.1) DM bi-weekly store visit, 1.2) Introduce new BI reports, 1.3) Use Skype meetings, 1.4) Ensure use of mobiles</t>
        </r>
      </text>
    </comment>
    <comment ref="I9" authorId="0" shapeId="0" xr:uid="{00000000-0006-0000-0000-000008000000}">
      <text>
        <r>
          <rPr>
            <sz val="9"/>
            <color indexed="81"/>
            <rFont val="Tahoma"/>
            <family val="2"/>
          </rPr>
          <t>Type in expected impact related to the CSF. Can be a KPI or a more broad impact</t>
        </r>
      </text>
    </comment>
    <comment ref="J9" authorId="0" shapeId="0" xr:uid="{00000000-0006-0000-0000-000009000000}">
      <text>
        <r>
          <rPr>
            <sz val="9"/>
            <color indexed="81"/>
            <rFont val="Tahoma"/>
            <family val="2"/>
          </rPr>
          <t>Name of the responsible person (preferably one)</t>
        </r>
      </text>
    </comment>
    <comment ref="K9" authorId="0" shapeId="0" xr:uid="{00000000-0006-0000-0000-00000A000000}">
      <text>
        <r>
          <rPr>
            <sz val="9"/>
            <color indexed="81"/>
            <rFont val="Tahoma"/>
            <family val="2"/>
          </rPr>
          <t>Type in name of main participant(s) - think "who should be involved"</t>
        </r>
      </text>
    </comment>
    <comment ref="N9" authorId="0" shapeId="0" xr:uid="{FDC26B57-E08D-4BD9-847C-E1F244E1553E}">
      <text>
        <r>
          <rPr>
            <sz val="9"/>
            <color indexed="81"/>
            <rFont val="Tahoma"/>
            <family val="2"/>
          </rPr>
          <t>Use comment field for status on action or CSF.</t>
        </r>
      </text>
    </comment>
    <comment ref="Q9" authorId="0" shapeId="0" xr:uid="{00000000-0006-0000-0000-00000B000000}">
      <text>
        <r>
          <rPr>
            <sz val="9"/>
            <color indexed="81"/>
            <rFont val="Tahoma"/>
            <family val="2"/>
          </rPr>
          <t>Type 1, 2, 3, 4 or 5 to indicate planned actions in calendar weeks.</t>
        </r>
      </text>
    </comment>
    <comment ref="AA12" authorId="1" shapeId="0" xr:uid="{2E093CE8-F1B5-4612-A748-58E9D479979A}">
      <text>
        <r>
          <rPr>
            <b/>
            <sz val="9"/>
            <color indexed="81"/>
            <rFont val="Tahoma"/>
            <charset val="1"/>
          </rPr>
          <t>Ivan Protega:</t>
        </r>
        <r>
          <rPr>
            <sz val="9"/>
            <color indexed="81"/>
            <rFont val="Tahoma"/>
            <charset val="1"/>
          </rPr>
          <t xml:space="preserve">
During P&amp;L meeting 15.11</t>
        </r>
      </text>
    </comment>
    <comment ref="AO12" authorId="1" shapeId="0" xr:uid="{120B6EB6-EEF2-4F59-8359-7696AB437ED9}">
      <text>
        <r>
          <rPr>
            <b/>
            <sz val="9"/>
            <color indexed="81"/>
            <rFont val="Tahoma"/>
            <charset val="1"/>
          </rPr>
          <t>Ivan Protega:</t>
        </r>
        <r>
          <rPr>
            <sz val="9"/>
            <color indexed="81"/>
            <rFont val="Tahoma"/>
            <charset val="1"/>
          </rPr>
          <t xml:space="preserve">
During P&amp;L meeting 17.02</t>
        </r>
      </text>
    </comment>
    <comment ref="BB12" authorId="1" shapeId="0" xr:uid="{09168915-34D8-4274-9418-0B9EEE0D3330}">
      <text>
        <r>
          <rPr>
            <b/>
            <sz val="9"/>
            <color indexed="81"/>
            <rFont val="Tahoma"/>
            <charset val="1"/>
          </rPr>
          <t>Ivan Protega:</t>
        </r>
        <r>
          <rPr>
            <sz val="9"/>
            <color indexed="81"/>
            <rFont val="Tahoma"/>
            <charset val="1"/>
          </rPr>
          <t xml:space="preserve">
During P&amp;L meeting 19.05</t>
        </r>
      </text>
    </comment>
    <comment ref="T13" authorId="1" shapeId="0" xr:uid="{AD0895E8-9E47-4FA7-845E-E4596AE3F4A5}">
      <text>
        <r>
          <rPr>
            <b/>
            <sz val="9"/>
            <color indexed="81"/>
            <rFont val="Tahoma"/>
            <charset val="1"/>
          </rPr>
          <t>Ivan Protega:</t>
        </r>
        <r>
          <rPr>
            <sz val="9"/>
            <color indexed="81"/>
            <rFont val="Tahoma"/>
            <charset val="1"/>
          </rPr>
          <t xml:space="preserve">
On Country SM meeting</t>
        </r>
      </text>
    </comment>
    <comment ref="AA13" authorId="1" shapeId="0" xr:uid="{73F7B135-4EEC-4E75-9C14-08C4010845A5}">
      <text>
        <r>
          <rPr>
            <b/>
            <sz val="9"/>
            <color indexed="81"/>
            <rFont val="Tahoma"/>
            <charset val="1"/>
          </rPr>
          <t>Ivan Protega:</t>
        </r>
        <r>
          <rPr>
            <sz val="9"/>
            <color indexed="81"/>
            <rFont val="Tahoma"/>
            <charset val="1"/>
          </rPr>
          <t xml:space="preserve">
During P&amp;L meeting 15.11</t>
        </r>
      </text>
    </comment>
    <comment ref="AO13" authorId="1" shapeId="0" xr:uid="{63E90B50-39CF-4414-9BC4-2777F67BE094}">
      <text>
        <r>
          <rPr>
            <b/>
            <sz val="9"/>
            <color indexed="81"/>
            <rFont val="Tahoma"/>
            <charset val="1"/>
          </rPr>
          <t>Ivan Protega:</t>
        </r>
        <r>
          <rPr>
            <sz val="9"/>
            <color indexed="81"/>
            <rFont val="Tahoma"/>
            <charset val="1"/>
          </rPr>
          <t xml:space="preserve">
During P&amp;L meeting 17.02</t>
        </r>
      </text>
    </comment>
    <comment ref="BB13" authorId="1" shapeId="0" xr:uid="{90ACBFCA-94C2-41AD-B4BA-D9BCDEDD79F4}">
      <text>
        <r>
          <rPr>
            <b/>
            <sz val="9"/>
            <color indexed="81"/>
            <rFont val="Tahoma"/>
            <charset val="1"/>
          </rPr>
          <t>Ivan Protega:</t>
        </r>
        <r>
          <rPr>
            <sz val="9"/>
            <color indexed="81"/>
            <rFont val="Tahoma"/>
            <charset val="1"/>
          </rPr>
          <t xml:space="preserve">
During P&amp;L meeting 19.05</t>
        </r>
      </text>
    </comment>
    <comment ref="AA15" authorId="1" shapeId="0" xr:uid="{ACB925C9-04B7-47CB-A592-8FD9E669753B}">
      <text>
        <r>
          <rPr>
            <b/>
            <sz val="9"/>
            <color indexed="81"/>
            <rFont val="Tahoma"/>
            <charset val="1"/>
          </rPr>
          <t>Ivan Protega:</t>
        </r>
        <r>
          <rPr>
            <sz val="9"/>
            <color indexed="81"/>
            <rFont val="Tahoma"/>
            <charset val="1"/>
          </rPr>
          <t xml:space="preserve">
During P&amp;L meeting 15.11</t>
        </r>
      </text>
    </comment>
    <comment ref="AO15" authorId="1" shapeId="0" xr:uid="{4D122AA2-FAF9-4D44-912B-5E4A5DBD2BF5}">
      <text>
        <r>
          <rPr>
            <b/>
            <sz val="9"/>
            <color indexed="81"/>
            <rFont val="Tahoma"/>
            <charset val="1"/>
          </rPr>
          <t>Ivan Protega:</t>
        </r>
        <r>
          <rPr>
            <sz val="9"/>
            <color indexed="81"/>
            <rFont val="Tahoma"/>
            <charset val="1"/>
          </rPr>
          <t xml:space="preserve">
During P&amp;L meeting 17.02</t>
        </r>
      </text>
    </comment>
    <comment ref="BB15" authorId="1" shapeId="0" xr:uid="{0FD275C7-8305-4D72-BE5E-568E60F1840C}">
      <text>
        <r>
          <rPr>
            <b/>
            <sz val="9"/>
            <color indexed="81"/>
            <rFont val="Tahoma"/>
            <charset val="1"/>
          </rPr>
          <t>Ivan Protega:</t>
        </r>
        <r>
          <rPr>
            <sz val="9"/>
            <color indexed="81"/>
            <rFont val="Tahoma"/>
            <charset val="1"/>
          </rPr>
          <t xml:space="preserve">
During P&amp;L meeting 19.05</t>
        </r>
      </text>
    </comment>
    <comment ref="AA17" authorId="1" shapeId="0" xr:uid="{DD7D98B4-E8A1-450E-9E9F-F37D6AA007B6}">
      <text>
        <r>
          <rPr>
            <b/>
            <sz val="9"/>
            <color indexed="81"/>
            <rFont val="Tahoma"/>
            <charset val="1"/>
          </rPr>
          <t>Ivan Protega:</t>
        </r>
        <r>
          <rPr>
            <sz val="9"/>
            <color indexed="81"/>
            <rFont val="Tahoma"/>
            <charset val="1"/>
          </rPr>
          <t xml:space="preserve">
During P&amp;L meeting 15.11</t>
        </r>
      </text>
    </comment>
    <comment ref="AO17" authorId="1" shapeId="0" xr:uid="{B2B389AD-6951-46BC-A87E-A6BEA8593CC7}">
      <text>
        <r>
          <rPr>
            <b/>
            <sz val="9"/>
            <color indexed="81"/>
            <rFont val="Tahoma"/>
            <charset val="1"/>
          </rPr>
          <t>Ivan Protega:</t>
        </r>
        <r>
          <rPr>
            <sz val="9"/>
            <color indexed="81"/>
            <rFont val="Tahoma"/>
            <charset val="1"/>
          </rPr>
          <t xml:space="preserve">
During P&amp;L meeting 17.02</t>
        </r>
      </text>
    </comment>
    <comment ref="BB17" authorId="1" shapeId="0" xr:uid="{E15DCD7D-09C9-44A5-8D00-2D82D92D3C55}">
      <text>
        <r>
          <rPr>
            <b/>
            <sz val="9"/>
            <color indexed="81"/>
            <rFont val="Tahoma"/>
            <charset val="1"/>
          </rPr>
          <t>Ivan Protega:</t>
        </r>
        <r>
          <rPr>
            <sz val="9"/>
            <color indexed="81"/>
            <rFont val="Tahoma"/>
            <charset val="1"/>
          </rPr>
          <t xml:space="preserve">
During P&amp;L meeting 19.05</t>
        </r>
      </text>
    </comment>
    <comment ref="AA19" authorId="1" shapeId="0" xr:uid="{D148126C-D5DB-4C8D-A9A1-C1A1C9BC3645}">
      <text>
        <r>
          <rPr>
            <b/>
            <sz val="9"/>
            <color indexed="81"/>
            <rFont val="Tahoma"/>
            <charset val="1"/>
          </rPr>
          <t>Ivan Protega:</t>
        </r>
        <r>
          <rPr>
            <sz val="9"/>
            <color indexed="81"/>
            <rFont val="Tahoma"/>
            <charset val="1"/>
          </rPr>
          <t xml:space="preserve">
During P&amp;L meeting 15.11</t>
        </r>
      </text>
    </comment>
    <comment ref="AO19" authorId="1" shapeId="0" xr:uid="{69FA9279-5420-42CA-AC73-A86C106C2AFD}">
      <text>
        <r>
          <rPr>
            <b/>
            <sz val="9"/>
            <color indexed="81"/>
            <rFont val="Tahoma"/>
            <charset val="1"/>
          </rPr>
          <t>Ivan Protega:</t>
        </r>
        <r>
          <rPr>
            <sz val="9"/>
            <color indexed="81"/>
            <rFont val="Tahoma"/>
            <charset val="1"/>
          </rPr>
          <t xml:space="preserve">
During P&amp;L meeting 17.02</t>
        </r>
      </text>
    </comment>
    <comment ref="BB19" authorId="1" shapeId="0" xr:uid="{B92527A1-7684-499A-A525-8D0325106AC9}">
      <text>
        <r>
          <rPr>
            <b/>
            <sz val="9"/>
            <color indexed="81"/>
            <rFont val="Tahoma"/>
            <charset val="1"/>
          </rPr>
          <t>Ivan Protega:</t>
        </r>
        <r>
          <rPr>
            <sz val="9"/>
            <color indexed="81"/>
            <rFont val="Tahoma"/>
            <charset val="1"/>
          </rPr>
          <t xml:space="preserve">
During P&amp;L meeting 19.05</t>
        </r>
      </text>
    </comment>
    <comment ref="AA21" authorId="1" shapeId="0" xr:uid="{A5E6FA90-BE30-45A6-9970-DBBC1B7A848D}">
      <text>
        <r>
          <rPr>
            <b/>
            <sz val="9"/>
            <color indexed="81"/>
            <rFont val="Tahoma"/>
            <charset val="1"/>
          </rPr>
          <t>Ivan Protega:</t>
        </r>
        <r>
          <rPr>
            <sz val="9"/>
            <color indexed="81"/>
            <rFont val="Tahoma"/>
            <charset val="1"/>
          </rPr>
          <t xml:space="preserve">
During P&amp;L meeting 15.11</t>
        </r>
      </text>
    </comment>
    <comment ref="AO21" authorId="1" shapeId="0" xr:uid="{4453DA82-1913-4879-AA46-02C8CC731B03}">
      <text>
        <r>
          <rPr>
            <b/>
            <sz val="9"/>
            <color indexed="81"/>
            <rFont val="Tahoma"/>
            <charset val="1"/>
          </rPr>
          <t>Ivan Protega:</t>
        </r>
        <r>
          <rPr>
            <sz val="9"/>
            <color indexed="81"/>
            <rFont val="Tahoma"/>
            <charset val="1"/>
          </rPr>
          <t xml:space="preserve">
During P&amp;L meeting 17.02</t>
        </r>
      </text>
    </comment>
    <comment ref="BB21" authorId="1" shapeId="0" xr:uid="{A985D9D5-E307-41BD-BBFA-0E25822EBB75}">
      <text>
        <r>
          <rPr>
            <b/>
            <sz val="9"/>
            <color indexed="81"/>
            <rFont val="Tahoma"/>
            <charset val="1"/>
          </rPr>
          <t>Ivan Protega:</t>
        </r>
        <r>
          <rPr>
            <sz val="9"/>
            <color indexed="81"/>
            <rFont val="Tahoma"/>
            <charset val="1"/>
          </rPr>
          <t xml:space="preserve">
During P&amp;L meeting 19.05</t>
        </r>
      </text>
    </comment>
    <comment ref="S26" authorId="1" shapeId="0" xr:uid="{3A5ADB9D-461C-4D5C-8ED6-C8664973F200}">
      <text>
        <r>
          <rPr>
            <b/>
            <sz val="9"/>
            <color indexed="81"/>
            <rFont val="Tahoma"/>
            <charset val="1"/>
          </rPr>
          <t>Ivan Protega:</t>
        </r>
        <r>
          <rPr>
            <sz val="9"/>
            <color indexed="81"/>
            <rFont val="Tahoma"/>
            <charset val="1"/>
          </rPr>
          <t xml:space="preserve">
On Country SM meeting</t>
        </r>
      </text>
    </comment>
    <comment ref="T29" authorId="1" shapeId="0" xr:uid="{8D7C0924-B8B6-45D0-A0EA-B8331CD4DCCC}">
      <text>
        <r>
          <rPr>
            <b/>
            <sz val="9"/>
            <color indexed="81"/>
            <rFont val="Tahoma"/>
            <family val="2"/>
            <charset val="238"/>
          </rPr>
          <t>Ivan Protega:</t>
        </r>
        <r>
          <rPr>
            <sz val="9"/>
            <color indexed="81"/>
            <rFont val="Tahoma"/>
            <family val="2"/>
            <charset val="238"/>
          </rPr>
          <t xml:space="preserve">
On "Investment meeting" 23.09</t>
        </r>
      </text>
    </comment>
    <comment ref="V29" authorId="1" shapeId="0" xr:uid="{EB966FAD-02AE-4158-920F-85E798745BFC}">
      <text>
        <r>
          <rPr>
            <b/>
            <sz val="9"/>
            <color indexed="81"/>
            <rFont val="Tahoma"/>
            <family val="2"/>
            <charset val="238"/>
          </rPr>
          <t>Ivan Protega:</t>
        </r>
        <r>
          <rPr>
            <sz val="9"/>
            <color indexed="81"/>
            <rFont val="Tahoma"/>
            <family val="2"/>
            <charset val="238"/>
          </rPr>
          <t xml:space="preserve">
On "Investment meeting" 11.10</t>
        </r>
      </text>
    </comment>
    <comment ref="AA29" authorId="1" shapeId="0" xr:uid="{01DFCC2C-786A-4716-9283-DB3B98805255}">
      <text>
        <r>
          <rPr>
            <b/>
            <sz val="9"/>
            <color indexed="81"/>
            <rFont val="Tahoma"/>
            <family val="2"/>
            <charset val="238"/>
          </rPr>
          <t>Ivan Protega:</t>
        </r>
        <r>
          <rPr>
            <sz val="9"/>
            <color indexed="81"/>
            <rFont val="Tahoma"/>
            <family val="2"/>
            <charset val="238"/>
          </rPr>
          <t xml:space="preserve">
On "Investment meeting" 15.11</t>
        </r>
      </text>
    </comment>
    <comment ref="AE29" authorId="1" shapeId="0" xr:uid="{FF8C2F57-B5AF-4068-88AE-A5CFF26A052B}">
      <text>
        <r>
          <rPr>
            <b/>
            <sz val="9"/>
            <color indexed="81"/>
            <rFont val="Tahoma"/>
            <family val="2"/>
            <charset val="238"/>
          </rPr>
          <t>Ivan Protega:</t>
        </r>
        <r>
          <rPr>
            <sz val="9"/>
            <color indexed="81"/>
            <rFont val="Tahoma"/>
            <family val="2"/>
            <charset val="238"/>
          </rPr>
          <t xml:space="preserve">
On "Investment meeting" 12.12</t>
        </r>
      </text>
    </comment>
    <comment ref="AJ29" authorId="1" shapeId="0" xr:uid="{06441B0E-49C0-4258-8285-6109128D2355}">
      <text>
        <r>
          <rPr>
            <b/>
            <sz val="9"/>
            <color indexed="81"/>
            <rFont val="Tahoma"/>
            <family val="2"/>
            <charset val="238"/>
          </rPr>
          <t>Ivan Protega:</t>
        </r>
        <r>
          <rPr>
            <sz val="9"/>
            <color indexed="81"/>
            <rFont val="Tahoma"/>
            <family val="2"/>
            <charset val="238"/>
          </rPr>
          <t xml:space="preserve">
On "Investment meeting" 14.01</t>
        </r>
      </text>
    </comment>
    <comment ref="AO29" authorId="1" shapeId="0" xr:uid="{78541B65-21A6-4740-B58B-1E864E1F0F9C}">
      <text>
        <r>
          <rPr>
            <b/>
            <sz val="9"/>
            <color indexed="81"/>
            <rFont val="Tahoma"/>
            <family val="2"/>
            <charset val="238"/>
          </rPr>
          <t>Ivan Protega:</t>
        </r>
        <r>
          <rPr>
            <sz val="9"/>
            <color indexed="81"/>
            <rFont val="Tahoma"/>
            <family val="2"/>
            <charset val="238"/>
          </rPr>
          <t xml:space="preserve">
On "Investment meeting" 17.02</t>
        </r>
      </text>
    </comment>
    <comment ref="AS29" authorId="1" shapeId="0" xr:uid="{C18AF498-F080-4ACF-907D-798BD9981FDF}">
      <text>
        <r>
          <rPr>
            <b/>
            <sz val="9"/>
            <color indexed="81"/>
            <rFont val="Tahoma"/>
            <family val="2"/>
            <charset val="238"/>
          </rPr>
          <t>Ivan Protega:</t>
        </r>
        <r>
          <rPr>
            <sz val="9"/>
            <color indexed="81"/>
            <rFont val="Tahoma"/>
            <family val="2"/>
            <charset val="238"/>
          </rPr>
          <t xml:space="preserve">
On "Investment meeting" 18.03</t>
        </r>
      </text>
    </comment>
    <comment ref="AW29" authorId="1" shapeId="0" xr:uid="{0CC6DF89-476E-458A-A124-2502E4BC8F7D}">
      <text>
        <r>
          <rPr>
            <b/>
            <sz val="9"/>
            <color indexed="81"/>
            <rFont val="Tahoma"/>
            <family val="2"/>
            <charset val="238"/>
          </rPr>
          <t>Ivan Protega:</t>
        </r>
        <r>
          <rPr>
            <sz val="9"/>
            <color indexed="81"/>
            <rFont val="Tahoma"/>
            <family val="2"/>
            <charset val="238"/>
          </rPr>
          <t xml:space="preserve">
On "Investment meeting" 14.04</t>
        </r>
      </text>
    </comment>
    <comment ref="BB29" authorId="1" shapeId="0" xr:uid="{906A9667-9BA6-4BFB-BFD9-EC599F1D14FC}">
      <text>
        <r>
          <rPr>
            <b/>
            <sz val="9"/>
            <color indexed="81"/>
            <rFont val="Tahoma"/>
            <family val="2"/>
            <charset val="238"/>
          </rPr>
          <t>Ivan Protega:</t>
        </r>
        <r>
          <rPr>
            <sz val="9"/>
            <color indexed="81"/>
            <rFont val="Tahoma"/>
            <family val="2"/>
            <charset val="238"/>
          </rPr>
          <t xml:space="preserve">
On "Investment meeting" 19.05</t>
        </r>
      </text>
    </comment>
    <comment ref="BE29" authorId="1" shapeId="0" xr:uid="{71904434-D885-47EC-B40F-3AA079F04E26}">
      <text>
        <r>
          <rPr>
            <b/>
            <sz val="9"/>
            <color indexed="81"/>
            <rFont val="Tahoma"/>
            <family val="2"/>
            <charset val="238"/>
          </rPr>
          <t>Ivan Protega:</t>
        </r>
        <r>
          <rPr>
            <sz val="9"/>
            <color indexed="81"/>
            <rFont val="Tahoma"/>
            <family val="2"/>
            <charset val="238"/>
          </rPr>
          <t xml:space="preserve">
On "Investment meeting" 13.06</t>
        </r>
      </text>
    </comment>
    <comment ref="R33" authorId="1" shapeId="0" xr:uid="{507661AD-B480-46DA-A128-CD8459E6FF5B}">
      <text>
        <r>
          <rPr>
            <b/>
            <sz val="9"/>
            <color indexed="81"/>
            <rFont val="Tahoma"/>
            <charset val="1"/>
          </rPr>
          <t>Ivan Protega:</t>
        </r>
        <r>
          <rPr>
            <sz val="9"/>
            <color indexed="81"/>
            <rFont val="Tahoma"/>
            <charset val="1"/>
          </rPr>
          <t xml:space="preserve">
On National Retail meeting for DMs</t>
        </r>
      </text>
    </comment>
    <comment ref="T33" authorId="1" shapeId="0" xr:uid="{812ADFF2-D16B-416A-99B5-2401A7E56FF6}">
      <text>
        <r>
          <rPr>
            <b/>
            <sz val="9"/>
            <color indexed="81"/>
            <rFont val="Tahoma"/>
            <family val="2"/>
            <charset val="238"/>
          </rPr>
          <t>Ivan Protega:</t>
        </r>
        <r>
          <rPr>
            <sz val="9"/>
            <color indexed="81"/>
            <rFont val="Tahoma"/>
            <family val="2"/>
            <charset val="238"/>
          </rPr>
          <t xml:space="preserve">
On Country SM meeting for SMs</t>
        </r>
      </text>
    </comment>
    <comment ref="R38" authorId="1" shapeId="0" xr:uid="{325AD10A-1F03-4AF6-8891-F2CDA8EEF4BE}">
      <text>
        <r>
          <rPr>
            <b/>
            <sz val="9"/>
            <color indexed="81"/>
            <rFont val="Tahoma"/>
            <charset val="1"/>
          </rPr>
          <t>Ivan Protega:</t>
        </r>
        <r>
          <rPr>
            <sz val="9"/>
            <color indexed="81"/>
            <rFont val="Tahoma"/>
            <charset val="1"/>
          </rPr>
          <t xml:space="preserve">
During BP Kick off and National Retail meeting</t>
        </r>
      </text>
    </comment>
    <comment ref="R44" authorId="1" shapeId="0" xr:uid="{D807FB33-46C3-4EA5-8F60-F242C1108D9F}">
      <text>
        <r>
          <rPr>
            <b/>
            <sz val="9"/>
            <color indexed="81"/>
            <rFont val="Tahoma"/>
            <charset val="1"/>
          </rPr>
          <t>Ivan Protega:</t>
        </r>
        <r>
          <rPr>
            <sz val="9"/>
            <color indexed="81"/>
            <rFont val="Tahoma"/>
            <charset val="1"/>
          </rPr>
          <t xml:space="preserve">
On National Retail meeting for DMs</t>
        </r>
      </text>
    </comment>
    <comment ref="T44" authorId="1" shapeId="0" xr:uid="{114747AB-90A9-4CE0-BC72-A3575EF3C4B0}">
      <text>
        <r>
          <rPr>
            <b/>
            <sz val="9"/>
            <color indexed="81"/>
            <rFont val="Tahoma"/>
            <family val="2"/>
            <charset val="238"/>
          </rPr>
          <t>Ivan Protega:</t>
        </r>
        <r>
          <rPr>
            <sz val="9"/>
            <color indexed="81"/>
            <rFont val="Tahoma"/>
            <family val="2"/>
            <charset val="238"/>
          </rPr>
          <t xml:space="preserve">
On Country SM meeting for SMs</t>
        </r>
      </text>
    </comment>
    <comment ref="AD51" authorId="1" shapeId="0" xr:uid="{0F834BFD-B1CF-49C7-BEE4-3E126E563D90}">
      <text>
        <r>
          <rPr>
            <b/>
            <sz val="9"/>
            <color indexed="81"/>
            <rFont val="Tahoma"/>
            <charset val="1"/>
          </rPr>
          <t>Ivan Protega:</t>
        </r>
        <r>
          <rPr>
            <sz val="9"/>
            <color indexed="81"/>
            <rFont val="Tahoma"/>
            <charset val="1"/>
          </rPr>
          <t xml:space="preserve">
On CMT meeting 06.12</t>
        </r>
      </text>
    </comment>
    <comment ref="AS51" authorId="1" shapeId="0" xr:uid="{7A2423A9-2567-430D-AC2A-4DD5087EF81A}">
      <text>
        <r>
          <rPr>
            <b/>
            <sz val="9"/>
            <color indexed="81"/>
            <rFont val="Tahoma"/>
            <charset val="1"/>
          </rPr>
          <t>Ivan Protega:</t>
        </r>
        <r>
          <rPr>
            <sz val="9"/>
            <color indexed="81"/>
            <rFont val="Tahoma"/>
            <charset val="1"/>
          </rPr>
          <t xml:space="preserve">
On CMT meeting 17.03</t>
        </r>
      </text>
    </comment>
    <comment ref="BE51" authorId="1" shapeId="0" xr:uid="{3A799B5E-13E7-4EE9-84B8-2E50F4BDA211}">
      <text>
        <r>
          <rPr>
            <b/>
            <sz val="9"/>
            <color indexed="81"/>
            <rFont val="Tahoma"/>
            <charset val="1"/>
          </rPr>
          <t>Ivan Protega:</t>
        </r>
        <r>
          <rPr>
            <sz val="9"/>
            <color indexed="81"/>
            <rFont val="Tahoma"/>
            <charset val="1"/>
          </rPr>
          <t xml:space="preserve">
On CMT meeting 09.06</t>
        </r>
      </text>
    </comment>
    <comment ref="R53" authorId="1" shapeId="0" xr:uid="{C305CC15-97AB-4A54-AA13-305DF0ADB9CA}">
      <text>
        <r>
          <rPr>
            <b/>
            <sz val="9"/>
            <color indexed="81"/>
            <rFont val="Tahoma"/>
            <charset val="1"/>
          </rPr>
          <t>Ivan Protega:</t>
        </r>
        <r>
          <rPr>
            <sz val="9"/>
            <color indexed="81"/>
            <rFont val="Tahoma"/>
            <charset val="1"/>
          </rPr>
          <t xml:space="preserve">
On National Retail meeting for DMs</t>
        </r>
      </text>
    </comment>
    <comment ref="R54" authorId="1" shapeId="0" xr:uid="{EAC8E539-FD1F-4CC1-A1C9-46DA80A84C52}">
      <text>
        <r>
          <rPr>
            <b/>
            <sz val="9"/>
            <color indexed="81"/>
            <rFont val="Tahoma"/>
            <charset val="1"/>
          </rPr>
          <t>Ivan Protega:</t>
        </r>
        <r>
          <rPr>
            <sz val="9"/>
            <color indexed="81"/>
            <rFont val="Tahoma"/>
            <charset val="1"/>
          </rPr>
          <t xml:space="preserve">
On National Retail meeting for DMs and BP Kick Off for HO</t>
        </r>
      </text>
    </comment>
    <comment ref="T54" authorId="1" shapeId="0" xr:uid="{64864375-F0DC-454E-8FCD-2838B370DD02}">
      <text>
        <r>
          <rPr>
            <b/>
            <sz val="9"/>
            <color indexed="81"/>
            <rFont val="Tahoma"/>
            <family val="2"/>
            <charset val="238"/>
          </rPr>
          <t>Ivan Protega:</t>
        </r>
        <r>
          <rPr>
            <sz val="9"/>
            <color indexed="81"/>
            <rFont val="Tahoma"/>
            <family val="2"/>
            <charset val="238"/>
          </rPr>
          <t xml:space="preserve">
On Country SM meeting for SMs</t>
        </r>
      </text>
    </comment>
    <comment ref="V55" authorId="1" shapeId="0" xr:uid="{DD59690D-498F-4175-8147-4B2C4B89079C}">
      <text>
        <r>
          <rPr>
            <b/>
            <sz val="9"/>
            <color indexed="81"/>
            <rFont val="Tahoma"/>
            <charset val="1"/>
          </rPr>
          <t>Ivan Protega:</t>
        </r>
        <r>
          <rPr>
            <sz val="9"/>
            <color indexed="81"/>
            <rFont val="Tahoma"/>
            <charset val="1"/>
          </rPr>
          <t xml:space="preserve">
On Monthly Retail Meeting 07.10</t>
        </r>
      </text>
    </comment>
    <comment ref="Z55" authorId="1" shapeId="0" xr:uid="{5BD1022D-4FB1-4D96-A631-D38222C19A0D}">
      <text>
        <r>
          <rPr>
            <b/>
            <sz val="9"/>
            <color indexed="81"/>
            <rFont val="Tahoma"/>
            <charset val="1"/>
          </rPr>
          <t>Ivan Protega:</t>
        </r>
        <r>
          <rPr>
            <sz val="9"/>
            <color indexed="81"/>
            <rFont val="Tahoma"/>
            <charset val="1"/>
          </rPr>
          <t xml:space="preserve">
On National Retail Meeting 06.11</t>
        </r>
      </text>
    </comment>
    <comment ref="AE55" authorId="1" shapeId="0" xr:uid="{D4DCCB8E-6AA9-4EC2-A571-275A9C901976}">
      <text>
        <r>
          <rPr>
            <b/>
            <sz val="9"/>
            <color indexed="81"/>
            <rFont val="Tahoma"/>
            <charset val="1"/>
          </rPr>
          <t>Ivan Protega:</t>
        </r>
        <r>
          <rPr>
            <sz val="9"/>
            <color indexed="81"/>
            <rFont val="Tahoma"/>
            <charset val="1"/>
          </rPr>
          <t xml:space="preserve">
On Monthly Retail Meeting 09.12</t>
        </r>
      </text>
    </comment>
    <comment ref="AJ55" authorId="1" shapeId="0" xr:uid="{BCB447D7-5659-4455-B794-BE5AB8470642}">
      <text>
        <r>
          <rPr>
            <b/>
            <sz val="9"/>
            <color indexed="81"/>
            <rFont val="Tahoma"/>
            <charset val="1"/>
          </rPr>
          <t>Ivan Protega:</t>
        </r>
        <r>
          <rPr>
            <sz val="9"/>
            <color indexed="81"/>
            <rFont val="Tahoma"/>
            <charset val="1"/>
          </rPr>
          <t xml:space="preserve">
On Monthly Retail Meeting 13.01</t>
        </r>
      </text>
    </comment>
    <comment ref="AM55" authorId="1" shapeId="0" xr:uid="{1453E77B-95C8-4C29-B63A-3168DA81551A}">
      <text>
        <r>
          <rPr>
            <b/>
            <sz val="9"/>
            <color indexed="81"/>
            <rFont val="Tahoma"/>
            <charset val="1"/>
          </rPr>
          <t>Ivan Protega:</t>
        </r>
        <r>
          <rPr>
            <sz val="9"/>
            <color indexed="81"/>
            <rFont val="Tahoma"/>
            <charset val="1"/>
          </rPr>
          <t xml:space="preserve">
On National Retail Meeting 03.02</t>
        </r>
      </text>
    </comment>
    <comment ref="AQ55" authorId="1" shapeId="0" xr:uid="{14F3F04E-7895-4728-94A1-90382A43F02F}">
      <text>
        <r>
          <rPr>
            <b/>
            <sz val="9"/>
            <color indexed="81"/>
            <rFont val="Tahoma"/>
            <charset val="1"/>
          </rPr>
          <t>Ivan Protega:</t>
        </r>
        <r>
          <rPr>
            <sz val="9"/>
            <color indexed="81"/>
            <rFont val="Tahoma"/>
            <charset val="1"/>
          </rPr>
          <t xml:space="preserve">
On Monthly Retail Meeting 04.03</t>
        </r>
      </text>
    </comment>
    <comment ref="AV55" authorId="1" shapeId="0" xr:uid="{5EC3996D-D867-4494-B04D-30C87BAB5182}">
      <text>
        <r>
          <rPr>
            <b/>
            <sz val="9"/>
            <color indexed="81"/>
            <rFont val="Tahoma"/>
            <charset val="1"/>
          </rPr>
          <t>Ivan Protega:</t>
        </r>
        <r>
          <rPr>
            <sz val="9"/>
            <color indexed="81"/>
            <rFont val="Tahoma"/>
            <charset val="1"/>
          </rPr>
          <t xml:space="preserve">
On Monthly Retail Meeting 07.04</t>
        </r>
      </text>
    </comment>
    <comment ref="AZ55" authorId="1" shapeId="0" xr:uid="{C3AD91C1-C024-4D35-8CB9-424F349E4A46}">
      <text>
        <r>
          <rPr>
            <b/>
            <sz val="9"/>
            <color indexed="81"/>
            <rFont val="Tahoma"/>
            <charset val="1"/>
          </rPr>
          <t>Ivan Protega:</t>
        </r>
        <r>
          <rPr>
            <sz val="9"/>
            <color indexed="81"/>
            <rFont val="Tahoma"/>
            <charset val="1"/>
          </rPr>
          <t xml:space="preserve">
On Monthly Retail Meeting 06.05</t>
        </r>
      </text>
    </comment>
    <comment ref="BD55" authorId="1" shapeId="0" xr:uid="{9D6B3385-56B2-4B55-9802-B14C5BCEFCB2}">
      <text>
        <r>
          <rPr>
            <b/>
            <sz val="9"/>
            <color indexed="81"/>
            <rFont val="Tahoma"/>
            <charset val="1"/>
          </rPr>
          <t>Ivan Protega:</t>
        </r>
        <r>
          <rPr>
            <sz val="9"/>
            <color indexed="81"/>
            <rFont val="Tahoma"/>
            <charset val="1"/>
          </rPr>
          <t xml:space="preserve">
On National Retail Meeting 03.06</t>
        </r>
      </text>
    </comment>
    <comment ref="BH55" authorId="1" shapeId="0" xr:uid="{9ABA7044-7392-410E-B90A-9A81922CDA0E}">
      <text>
        <r>
          <rPr>
            <b/>
            <sz val="9"/>
            <color indexed="81"/>
            <rFont val="Tahoma"/>
            <charset val="1"/>
          </rPr>
          <t>Ivan Protega:</t>
        </r>
        <r>
          <rPr>
            <sz val="9"/>
            <color indexed="81"/>
            <rFont val="Tahoma"/>
            <charset val="1"/>
          </rPr>
          <t xml:space="preserve">
On Monthly Retail Meeting 04.07</t>
        </r>
      </text>
    </comment>
    <comment ref="AD57" authorId="1" shapeId="0" xr:uid="{F3C6830A-8175-4A31-83BF-4CB89762C1AE}">
      <text>
        <r>
          <rPr>
            <b/>
            <sz val="9"/>
            <color indexed="81"/>
            <rFont val="Tahoma"/>
            <charset val="1"/>
          </rPr>
          <t>Ivan Protega:</t>
        </r>
        <r>
          <rPr>
            <sz val="9"/>
            <color indexed="81"/>
            <rFont val="Tahoma"/>
            <charset val="1"/>
          </rPr>
          <t xml:space="preserve">
On CMT meeting 06.12</t>
        </r>
      </text>
    </comment>
    <comment ref="AS57" authorId="1" shapeId="0" xr:uid="{1527B038-6500-453E-B0FE-27C35B0B9890}">
      <text>
        <r>
          <rPr>
            <b/>
            <sz val="9"/>
            <color indexed="81"/>
            <rFont val="Tahoma"/>
            <charset val="1"/>
          </rPr>
          <t>Ivan Protega:</t>
        </r>
        <r>
          <rPr>
            <sz val="9"/>
            <color indexed="81"/>
            <rFont val="Tahoma"/>
            <charset val="1"/>
          </rPr>
          <t xml:space="preserve">
On CMT meeting 17.03</t>
        </r>
      </text>
    </comment>
    <comment ref="BE57" authorId="1" shapeId="0" xr:uid="{2B345479-EAFD-4D37-8C96-5E6632C222B3}">
      <text>
        <r>
          <rPr>
            <b/>
            <sz val="9"/>
            <color indexed="81"/>
            <rFont val="Tahoma"/>
            <charset val="1"/>
          </rPr>
          <t>Ivan Protega:</t>
        </r>
        <r>
          <rPr>
            <sz val="9"/>
            <color indexed="81"/>
            <rFont val="Tahoma"/>
            <charset val="1"/>
          </rPr>
          <t xml:space="preserve">
On CMT meeting 09.06</t>
        </r>
      </text>
    </comment>
    <comment ref="R59" authorId="1" shapeId="0" xr:uid="{6822B6DC-F258-4E15-902B-120502D4384B}">
      <text>
        <r>
          <rPr>
            <b/>
            <sz val="9"/>
            <color indexed="81"/>
            <rFont val="Tahoma"/>
            <charset val="1"/>
          </rPr>
          <t>Ivan Protega:</t>
        </r>
        <r>
          <rPr>
            <sz val="9"/>
            <color indexed="81"/>
            <rFont val="Tahoma"/>
            <charset val="1"/>
          </rPr>
          <t xml:space="preserve">
On National Retail meeting for DMs and BP Kick off for HO</t>
        </r>
      </text>
    </comment>
    <comment ref="T59" authorId="1" shapeId="0" xr:uid="{E5198A74-1B9F-4659-AEE0-469283749E12}">
      <text>
        <r>
          <rPr>
            <b/>
            <sz val="9"/>
            <color indexed="81"/>
            <rFont val="Tahoma"/>
            <family val="2"/>
            <charset val="238"/>
          </rPr>
          <t>Ivan Protega:</t>
        </r>
        <r>
          <rPr>
            <sz val="9"/>
            <color indexed="81"/>
            <rFont val="Tahoma"/>
            <family val="2"/>
            <charset val="238"/>
          </rPr>
          <t xml:space="preserve">
On Country SM meeting for SMs</t>
        </r>
      </text>
    </comment>
    <comment ref="V60" authorId="1" shapeId="0" xr:uid="{38B81C82-2894-4AA7-BE09-76C8ADC006E9}">
      <text>
        <r>
          <rPr>
            <b/>
            <sz val="9"/>
            <color indexed="81"/>
            <rFont val="Tahoma"/>
            <charset val="1"/>
          </rPr>
          <t>Ivan Protega:</t>
        </r>
        <r>
          <rPr>
            <sz val="9"/>
            <color indexed="81"/>
            <rFont val="Tahoma"/>
            <charset val="1"/>
          </rPr>
          <t xml:space="preserve">
09.10. Training and planning</t>
        </r>
      </text>
    </comment>
    <comment ref="AK61" authorId="1" shapeId="0" xr:uid="{2DF13269-558D-4D81-957F-652826989193}">
      <text>
        <r>
          <rPr>
            <b/>
            <sz val="9"/>
            <color indexed="81"/>
            <rFont val="Tahoma"/>
            <charset val="1"/>
          </rPr>
          <t>Ivan Protega:</t>
        </r>
        <r>
          <rPr>
            <sz val="9"/>
            <color indexed="81"/>
            <rFont val="Tahoma"/>
            <charset val="1"/>
          </rPr>
          <t xml:space="preserve">
20.01.2025</t>
        </r>
      </text>
    </comment>
    <comment ref="AU61" authorId="1" shapeId="0" xr:uid="{37695AD6-CA78-4273-AA34-12CF7F297D50}">
      <text>
        <r>
          <rPr>
            <b/>
            <sz val="9"/>
            <color indexed="81"/>
            <rFont val="Tahoma"/>
            <charset val="1"/>
          </rPr>
          <t>Ivan Protega:</t>
        </r>
        <r>
          <rPr>
            <sz val="9"/>
            <color indexed="81"/>
            <rFont val="Tahoma"/>
            <charset val="1"/>
          </rPr>
          <t xml:space="preserve">
01.04.2025</t>
        </r>
      </text>
    </comment>
    <comment ref="AD62" authorId="1" shapeId="0" xr:uid="{1B38A9CF-D0AE-4768-85A3-A552BF3D868A}">
      <text>
        <r>
          <rPr>
            <b/>
            <sz val="9"/>
            <color indexed="81"/>
            <rFont val="Tahoma"/>
            <charset val="1"/>
          </rPr>
          <t>Ivan Protega:</t>
        </r>
        <r>
          <rPr>
            <sz val="9"/>
            <color indexed="81"/>
            <rFont val="Tahoma"/>
            <charset val="1"/>
          </rPr>
          <t xml:space="preserve">
On CMT meeting 06.12</t>
        </r>
      </text>
    </comment>
    <comment ref="AS62" authorId="1" shapeId="0" xr:uid="{AD953090-AFDA-4355-8E14-5138AA0EFB5D}">
      <text>
        <r>
          <rPr>
            <b/>
            <sz val="9"/>
            <color indexed="81"/>
            <rFont val="Tahoma"/>
            <charset val="1"/>
          </rPr>
          <t>Ivan Protega:</t>
        </r>
        <r>
          <rPr>
            <sz val="9"/>
            <color indexed="81"/>
            <rFont val="Tahoma"/>
            <charset val="1"/>
          </rPr>
          <t xml:space="preserve">
On CMT meeting 17.03</t>
        </r>
      </text>
    </comment>
    <comment ref="BE62" authorId="1" shapeId="0" xr:uid="{13E3CF98-A0F6-4B3D-86C1-E9105FDA3D2D}">
      <text>
        <r>
          <rPr>
            <b/>
            <sz val="9"/>
            <color indexed="81"/>
            <rFont val="Tahoma"/>
            <charset val="1"/>
          </rPr>
          <t>Ivan Protega:</t>
        </r>
        <r>
          <rPr>
            <sz val="9"/>
            <color indexed="81"/>
            <rFont val="Tahoma"/>
            <charset val="1"/>
          </rPr>
          <t xml:space="preserve">
On CMT meeting 09.06</t>
        </r>
      </text>
    </comment>
    <comment ref="R65" authorId="1" shapeId="0" xr:uid="{D0A652FA-84BC-4FA4-9599-7CE674F7AD73}">
      <text>
        <r>
          <rPr>
            <b/>
            <sz val="9"/>
            <color indexed="81"/>
            <rFont val="Tahoma"/>
            <charset val="1"/>
          </rPr>
          <t>Ivan Protega:</t>
        </r>
        <r>
          <rPr>
            <sz val="9"/>
            <color indexed="81"/>
            <rFont val="Tahoma"/>
            <charset val="1"/>
          </rPr>
          <t xml:space="preserve">
On National Retail meeting for DMs and BP Kick off for HO</t>
        </r>
      </text>
    </comment>
    <comment ref="T65" authorId="1" shapeId="0" xr:uid="{4A674732-90B7-40C9-999F-84DAF0084205}">
      <text>
        <r>
          <rPr>
            <b/>
            <sz val="9"/>
            <color indexed="81"/>
            <rFont val="Tahoma"/>
            <family val="2"/>
            <charset val="238"/>
          </rPr>
          <t>Ivan Protega:</t>
        </r>
        <r>
          <rPr>
            <sz val="9"/>
            <color indexed="81"/>
            <rFont val="Tahoma"/>
            <family val="2"/>
            <charset val="238"/>
          </rPr>
          <t xml:space="preserve">
On Country SM meeting for SMs</t>
        </r>
      </text>
    </comment>
    <comment ref="AJ66" authorId="1" shapeId="0" xr:uid="{F41648CD-651A-4860-88B6-BDBC66809482}">
      <text>
        <r>
          <rPr>
            <b/>
            <sz val="9"/>
            <color indexed="81"/>
            <rFont val="Tahoma"/>
            <charset val="1"/>
          </rPr>
          <t>Ivan Protega:</t>
        </r>
        <r>
          <rPr>
            <sz val="9"/>
            <color indexed="81"/>
            <rFont val="Tahoma"/>
            <charset val="1"/>
          </rPr>
          <t xml:space="preserve">
On Monthly Retail Meeting 13.01</t>
        </r>
      </text>
    </comment>
    <comment ref="AS68" authorId="1" shapeId="0" xr:uid="{0FB9EF4F-AA3C-45D8-AA12-9813569060EA}">
      <text>
        <r>
          <rPr>
            <b/>
            <sz val="9"/>
            <color indexed="81"/>
            <rFont val="Tahoma"/>
            <charset val="1"/>
          </rPr>
          <t>Ivan Protega:</t>
        </r>
        <r>
          <rPr>
            <sz val="9"/>
            <color indexed="81"/>
            <rFont val="Tahoma"/>
            <charset val="1"/>
          </rPr>
          <t xml:space="preserve">
On CMT meeting 17.03</t>
        </r>
      </text>
    </comment>
    <comment ref="BE68" authorId="1" shapeId="0" xr:uid="{A57ECAFE-9795-4CE8-B8AF-A4001C533278}">
      <text>
        <r>
          <rPr>
            <b/>
            <sz val="9"/>
            <color indexed="81"/>
            <rFont val="Tahoma"/>
            <charset val="1"/>
          </rPr>
          <t>Ivan Protega:</t>
        </r>
        <r>
          <rPr>
            <sz val="9"/>
            <color indexed="81"/>
            <rFont val="Tahoma"/>
            <charset val="1"/>
          </rPr>
          <t xml:space="preserve">
On CMT meeting 09.06</t>
        </r>
      </text>
    </comment>
    <comment ref="V71" authorId="1" shapeId="0" xr:uid="{69786010-B873-4E26-A4B8-F47FB49EFA54}">
      <text>
        <r>
          <rPr>
            <b/>
            <sz val="9"/>
            <color indexed="81"/>
            <rFont val="Tahoma"/>
            <charset val="1"/>
          </rPr>
          <t>Ivan Protega:</t>
        </r>
        <r>
          <rPr>
            <sz val="9"/>
            <color indexed="81"/>
            <rFont val="Tahoma"/>
            <charset val="1"/>
          </rPr>
          <t xml:space="preserve">
On Monthly Retail Meeting 07.10</t>
        </r>
      </text>
    </comment>
    <comment ref="AE71" authorId="1" shapeId="0" xr:uid="{E4678A71-B355-443D-8B43-96D206BEE8D2}">
      <text>
        <r>
          <rPr>
            <b/>
            <sz val="9"/>
            <color indexed="81"/>
            <rFont val="Tahoma"/>
            <charset val="1"/>
          </rPr>
          <t>Ivan Protega:</t>
        </r>
        <r>
          <rPr>
            <sz val="9"/>
            <color indexed="81"/>
            <rFont val="Tahoma"/>
            <charset val="1"/>
          </rPr>
          <t xml:space="preserve">
On Monthly Retail Meeting 09.12</t>
        </r>
      </text>
    </comment>
    <comment ref="AQ71" authorId="1" shapeId="0" xr:uid="{5110BA8E-EE40-4172-A8D6-C7C4B92724C5}">
      <text>
        <r>
          <rPr>
            <b/>
            <sz val="9"/>
            <color indexed="81"/>
            <rFont val="Tahoma"/>
            <charset val="1"/>
          </rPr>
          <t>Ivan Protega:</t>
        </r>
        <r>
          <rPr>
            <sz val="9"/>
            <color indexed="81"/>
            <rFont val="Tahoma"/>
            <charset val="1"/>
          </rPr>
          <t xml:space="preserve">
On Monthly Retail Meeting 04.03</t>
        </r>
      </text>
    </comment>
    <comment ref="AZ71" authorId="1" shapeId="0" xr:uid="{412AED88-0305-4835-B35B-9DC5814AEA3F}">
      <text>
        <r>
          <rPr>
            <b/>
            <sz val="9"/>
            <color indexed="81"/>
            <rFont val="Tahoma"/>
            <charset val="1"/>
          </rPr>
          <t>Ivan Protega:</t>
        </r>
        <r>
          <rPr>
            <sz val="9"/>
            <color indexed="81"/>
            <rFont val="Tahoma"/>
            <charset val="1"/>
          </rPr>
          <t xml:space="preserve">
On Monthly Retail Meeting 06.05</t>
        </r>
      </text>
    </comment>
    <comment ref="AE72" authorId="1" shapeId="0" xr:uid="{DD91C559-DDDA-4D5B-9DFD-6FE695582953}">
      <text>
        <r>
          <rPr>
            <b/>
            <sz val="9"/>
            <color indexed="81"/>
            <rFont val="Tahoma"/>
            <charset val="1"/>
          </rPr>
          <t>Ivan Protega:</t>
        </r>
        <r>
          <rPr>
            <sz val="9"/>
            <color indexed="81"/>
            <rFont val="Tahoma"/>
            <charset val="1"/>
          </rPr>
          <t xml:space="preserve">
11.12</t>
        </r>
      </text>
    </comment>
    <comment ref="AQ72" authorId="1" shapeId="0" xr:uid="{C3FC7952-D803-45DD-9B93-2C82B688575F}">
      <text>
        <r>
          <rPr>
            <b/>
            <sz val="9"/>
            <color indexed="81"/>
            <rFont val="Tahoma"/>
            <charset val="1"/>
          </rPr>
          <t>Ivan Protega:</t>
        </r>
        <r>
          <rPr>
            <sz val="9"/>
            <color indexed="81"/>
            <rFont val="Tahoma"/>
            <charset val="1"/>
          </rPr>
          <t xml:space="preserve">
04.03 - 05.03</t>
        </r>
      </text>
    </comment>
    <comment ref="AD73" authorId="1" shapeId="0" xr:uid="{C9BBC73E-DDE9-4F7E-930E-45B4C9D22EF6}">
      <text>
        <r>
          <rPr>
            <b/>
            <sz val="9"/>
            <color indexed="81"/>
            <rFont val="Tahoma"/>
            <charset val="1"/>
          </rPr>
          <t>Ivan Protega:</t>
        </r>
        <r>
          <rPr>
            <sz val="9"/>
            <color indexed="81"/>
            <rFont val="Tahoma"/>
            <charset val="1"/>
          </rPr>
          <t xml:space="preserve">
On CMT meeting 06.12</t>
        </r>
      </text>
    </comment>
    <comment ref="AS73" authorId="1" shapeId="0" xr:uid="{6E6EA83D-CC47-4B57-8190-FA5E1F7BFE74}">
      <text>
        <r>
          <rPr>
            <b/>
            <sz val="9"/>
            <color indexed="81"/>
            <rFont val="Tahoma"/>
            <charset val="1"/>
          </rPr>
          <t>Ivan Protega:</t>
        </r>
        <r>
          <rPr>
            <sz val="9"/>
            <color indexed="81"/>
            <rFont val="Tahoma"/>
            <charset val="1"/>
          </rPr>
          <t xml:space="preserve">
On CMT meeting 17.03</t>
        </r>
      </text>
    </comment>
    <comment ref="BE73" authorId="1" shapeId="0" xr:uid="{DE5DD81B-821B-4956-A2D3-D66B303CA2B2}">
      <text>
        <r>
          <rPr>
            <b/>
            <sz val="9"/>
            <color indexed="81"/>
            <rFont val="Tahoma"/>
            <charset val="1"/>
          </rPr>
          <t>Ivan Protega:</t>
        </r>
        <r>
          <rPr>
            <sz val="9"/>
            <color indexed="81"/>
            <rFont val="Tahoma"/>
            <charset val="1"/>
          </rPr>
          <t xml:space="preserve">
On CMT meeting 09.06</t>
        </r>
      </text>
    </comment>
    <comment ref="Y75" authorId="1" shapeId="0" xr:uid="{17CB21DA-9D4F-48A7-9DA2-05D89DB9626C}">
      <text>
        <r>
          <rPr>
            <b/>
            <sz val="9"/>
            <color indexed="81"/>
            <rFont val="Tahoma"/>
            <charset val="1"/>
          </rPr>
          <t>Ivan Protega:</t>
        </r>
        <r>
          <rPr>
            <sz val="9"/>
            <color indexed="81"/>
            <rFont val="Tahoma"/>
            <charset val="1"/>
          </rPr>
          <t xml:space="preserve">
28.10 with TAP mentors</t>
        </r>
      </text>
    </comment>
    <comment ref="AJ75" authorId="1" shapeId="0" xr:uid="{1ADE87FC-D22F-41DD-A1CC-D0DBE67B8214}">
      <text>
        <r>
          <rPr>
            <b/>
            <sz val="9"/>
            <color indexed="81"/>
            <rFont val="Tahoma"/>
            <charset val="1"/>
          </rPr>
          <t>Ivan Protega:</t>
        </r>
        <r>
          <rPr>
            <sz val="9"/>
            <color indexed="81"/>
            <rFont val="Tahoma"/>
            <charset val="1"/>
          </rPr>
          <t xml:space="preserve">
Latest at begining of program with SMT mentors</t>
        </r>
      </text>
    </comment>
    <comment ref="AM75" authorId="1" shapeId="0" xr:uid="{AEBFF1DD-0403-456A-BF38-B71C480D2566}">
      <text>
        <r>
          <rPr>
            <b/>
            <sz val="9"/>
            <color indexed="81"/>
            <rFont val="Tahoma"/>
            <charset val="1"/>
          </rPr>
          <t>Ivan Protega:</t>
        </r>
        <r>
          <rPr>
            <sz val="9"/>
            <color indexed="81"/>
            <rFont val="Tahoma"/>
            <charset val="1"/>
          </rPr>
          <t xml:space="preserve">
Latest W6 with TAP mentors for 2nd round</t>
        </r>
      </text>
    </comment>
    <comment ref="AU75" authorId="1" shapeId="0" xr:uid="{3FDB1761-6191-4AB8-B82C-3E0CF6C0C7D0}">
      <text>
        <r>
          <rPr>
            <b/>
            <sz val="9"/>
            <color indexed="81"/>
            <rFont val="Tahoma"/>
            <charset val="1"/>
          </rPr>
          <t>Ivan Protega:</t>
        </r>
        <r>
          <rPr>
            <sz val="9"/>
            <color indexed="81"/>
            <rFont val="Tahoma"/>
            <charset val="1"/>
          </rPr>
          <t xml:space="preserve">
Latest two weeks after Module 2 as preparation for Summer season and peak period</t>
        </r>
      </text>
    </comment>
    <comment ref="Z76" authorId="1" shapeId="0" xr:uid="{FE479E65-5315-4A64-B6E8-EA4542046171}">
      <text>
        <r>
          <rPr>
            <b/>
            <sz val="9"/>
            <color indexed="81"/>
            <rFont val="Tahoma"/>
            <charset val="1"/>
          </rPr>
          <t>Ivan Protega:</t>
        </r>
        <r>
          <rPr>
            <sz val="9"/>
            <color indexed="81"/>
            <rFont val="Tahoma"/>
            <charset val="1"/>
          </rPr>
          <t xml:space="preserve">
Present status of TAP on NRM 06.11</t>
        </r>
      </text>
    </comment>
    <comment ref="AM76" authorId="1" shapeId="0" xr:uid="{C9F289C9-41A1-4637-A183-4B9E2AA63A73}">
      <text>
        <r>
          <rPr>
            <b/>
            <sz val="9"/>
            <color indexed="81"/>
            <rFont val="Tahoma"/>
            <charset val="1"/>
          </rPr>
          <t>Ivan Protega:</t>
        </r>
        <r>
          <rPr>
            <sz val="9"/>
            <color indexed="81"/>
            <rFont val="Tahoma"/>
            <charset val="1"/>
          </rPr>
          <t xml:space="preserve">
Present status of SMT on NRM 03.02 (after module 1)</t>
        </r>
      </text>
    </comment>
    <comment ref="AV76" authorId="1" shapeId="0" xr:uid="{905423D2-916F-4D8E-9356-C5263CE30498}">
      <text>
        <r>
          <rPr>
            <b/>
            <sz val="9"/>
            <color indexed="81"/>
            <rFont val="Tahoma"/>
            <charset val="1"/>
          </rPr>
          <t>Ivan Protega:</t>
        </r>
        <r>
          <rPr>
            <sz val="9"/>
            <color indexed="81"/>
            <rFont val="Tahoma"/>
            <charset val="1"/>
          </rPr>
          <t xml:space="preserve">
Present status of SMT on NRM 07.04 (after module 2)</t>
        </r>
      </text>
    </comment>
    <comment ref="BD76" authorId="1" shapeId="0" xr:uid="{78C062D6-3B98-4D69-8AE6-049A3BCE619F}">
      <text>
        <r>
          <rPr>
            <b/>
            <sz val="9"/>
            <color indexed="81"/>
            <rFont val="Tahoma"/>
            <charset val="1"/>
          </rPr>
          <t>Ivan Protega:</t>
        </r>
        <r>
          <rPr>
            <sz val="9"/>
            <color indexed="81"/>
            <rFont val="Tahoma"/>
            <charset val="1"/>
          </rPr>
          <t xml:space="preserve">
Present status of SMT on NRM 03.06 (after module 3)</t>
        </r>
      </text>
    </comment>
    <comment ref="AE77" authorId="1" shapeId="0" xr:uid="{AC744E7D-221C-4121-93C9-E2821C0C8C5E}">
      <text>
        <r>
          <rPr>
            <b/>
            <sz val="9"/>
            <color indexed="81"/>
            <rFont val="Tahoma"/>
            <charset val="1"/>
          </rPr>
          <t>Ivan Protega:</t>
        </r>
        <r>
          <rPr>
            <sz val="9"/>
            <color indexed="81"/>
            <rFont val="Tahoma"/>
            <charset val="1"/>
          </rPr>
          <t xml:space="preserve">
11.12</t>
        </r>
      </text>
    </comment>
    <comment ref="AQ77" authorId="1" shapeId="0" xr:uid="{76FA4D6E-02D4-4568-A8DA-30C0FCB19CD1}">
      <text>
        <r>
          <rPr>
            <b/>
            <sz val="9"/>
            <color indexed="81"/>
            <rFont val="Tahoma"/>
            <charset val="1"/>
          </rPr>
          <t>Ivan Protega:</t>
        </r>
        <r>
          <rPr>
            <sz val="9"/>
            <color indexed="81"/>
            <rFont val="Tahoma"/>
            <charset val="1"/>
          </rPr>
          <t xml:space="preserve">
04.03 - 05.03</t>
        </r>
      </text>
    </comment>
    <comment ref="AD78" authorId="1" shapeId="0" xr:uid="{B2F436AB-56EB-4C87-82A3-1BC8950E1103}">
      <text>
        <r>
          <rPr>
            <b/>
            <sz val="9"/>
            <color indexed="81"/>
            <rFont val="Tahoma"/>
            <charset val="1"/>
          </rPr>
          <t>Ivan Protega:</t>
        </r>
        <r>
          <rPr>
            <sz val="9"/>
            <color indexed="81"/>
            <rFont val="Tahoma"/>
            <charset val="1"/>
          </rPr>
          <t xml:space="preserve">
On CMT meeting 06.12</t>
        </r>
      </text>
    </comment>
    <comment ref="AS78" authorId="1" shapeId="0" xr:uid="{94EE449C-C153-4127-AA28-BC56E9F741AF}">
      <text>
        <r>
          <rPr>
            <b/>
            <sz val="9"/>
            <color indexed="81"/>
            <rFont val="Tahoma"/>
            <charset val="1"/>
          </rPr>
          <t>Ivan Protega:</t>
        </r>
        <r>
          <rPr>
            <sz val="9"/>
            <color indexed="81"/>
            <rFont val="Tahoma"/>
            <charset val="1"/>
          </rPr>
          <t xml:space="preserve">
On CMT meeting 17.03</t>
        </r>
      </text>
    </comment>
    <comment ref="BE78" authorId="1" shapeId="0" xr:uid="{BE0688EB-66F2-47D0-B15F-9FE2AFBAE983}">
      <text>
        <r>
          <rPr>
            <b/>
            <sz val="9"/>
            <color indexed="81"/>
            <rFont val="Tahoma"/>
            <charset val="1"/>
          </rPr>
          <t>Ivan Protega:</t>
        </r>
        <r>
          <rPr>
            <sz val="9"/>
            <color indexed="81"/>
            <rFont val="Tahoma"/>
            <charset val="1"/>
          </rPr>
          <t xml:space="preserve">
On CMT meeting 09.06</t>
        </r>
      </text>
    </comment>
    <comment ref="R80" authorId="1" shapeId="0" xr:uid="{AA1B22B6-88B1-40E9-A05C-91F16021123F}">
      <text>
        <r>
          <rPr>
            <b/>
            <sz val="9"/>
            <color indexed="81"/>
            <rFont val="Tahoma"/>
            <charset val="1"/>
          </rPr>
          <t>Ivan Protega:</t>
        </r>
        <r>
          <rPr>
            <sz val="9"/>
            <color indexed="81"/>
            <rFont val="Tahoma"/>
            <charset val="1"/>
          </rPr>
          <t xml:space="preserve">
On National Retail meeting for DMs and BP Kick off for HO</t>
        </r>
      </text>
    </comment>
    <comment ref="T80" authorId="1" shapeId="0" xr:uid="{69EA0A88-F7B4-45DF-B867-236E5FDEA226}">
      <text>
        <r>
          <rPr>
            <b/>
            <sz val="9"/>
            <color indexed="81"/>
            <rFont val="Tahoma"/>
            <family val="2"/>
            <charset val="238"/>
          </rPr>
          <t>Ivan Protega:</t>
        </r>
        <r>
          <rPr>
            <sz val="9"/>
            <color indexed="81"/>
            <rFont val="Tahoma"/>
            <family val="2"/>
            <charset val="238"/>
          </rPr>
          <t xml:space="preserve">
On Country SM meeting for SMs</t>
        </r>
      </text>
    </comment>
    <comment ref="U81" authorId="1" shapeId="0" xr:uid="{50E65DA0-80C6-496A-A5E3-329714DE7B86}">
      <text>
        <r>
          <rPr>
            <b/>
            <sz val="9"/>
            <color indexed="81"/>
            <rFont val="Tahoma"/>
            <charset val="1"/>
          </rPr>
          <t>Ivan Protega:</t>
        </r>
        <r>
          <rPr>
            <sz val="9"/>
            <color indexed="81"/>
            <rFont val="Tahoma"/>
            <charset val="1"/>
          </rPr>
          <t xml:space="preserve">
On MCRM 04.10
</t>
        </r>
      </text>
    </comment>
    <comment ref="V81" authorId="1" shapeId="0" xr:uid="{DF9708D5-5D1C-4042-9108-EA6E825DF661}">
      <text>
        <r>
          <rPr>
            <b/>
            <sz val="9"/>
            <color indexed="81"/>
            <rFont val="Tahoma"/>
            <charset val="1"/>
          </rPr>
          <t>Ivan Protega:</t>
        </r>
        <r>
          <rPr>
            <sz val="9"/>
            <color indexed="81"/>
            <rFont val="Tahoma"/>
            <charset val="1"/>
          </rPr>
          <t xml:space="preserve">
On Monthly Retail Meeting 07.10</t>
        </r>
      </text>
    </comment>
    <comment ref="Z81" authorId="1" shapeId="0" xr:uid="{0463CD1F-9B84-4B16-83AD-97AA99D5F897}">
      <text>
        <r>
          <rPr>
            <b/>
            <sz val="9"/>
            <color indexed="81"/>
            <rFont val="Tahoma"/>
            <charset val="1"/>
          </rPr>
          <t>Ivan Protega:</t>
        </r>
        <r>
          <rPr>
            <sz val="9"/>
            <color indexed="81"/>
            <rFont val="Tahoma"/>
            <charset val="1"/>
          </rPr>
          <t xml:space="preserve">
On National Retail Meeting 06.11 and Monthly Country RM meeting 05.11</t>
        </r>
      </text>
    </comment>
    <comment ref="AD81" authorId="1" shapeId="0" xr:uid="{5C6E32CA-BFD0-41DF-86C6-CD31F5BD55D3}">
      <text>
        <r>
          <rPr>
            <b/>
            <sz val="9"/>
            <color indexed="81"/>
            <rFont val="Tahoma"/>
            <charset val="1"/>
          </rPr>
          <t>Ivan Protega:</t>
        </r>
        <r>
          <rPr>
            <sz val="9"/>
            <color indexed="81"/>
            <rFont val="Tahoma"/>
            <charset val="1"/>
          </rPr>
          <t xml:space="preserve">
On MCRM 06.12</t>
        </r>
      </text>
    </comment>
    <comment ref="AE81" authorId="1" shapeId="0" xr:uid="{B47CE066-4EB5-41B7-9217-F3F35728ADDD}">
      <text>
        <r>
          <rPr>
            <b/>
            <sz val="9"/>
            <color indexed="81"/>
            <rFont val="Tahoma"/>
            <charset val="1"/>
          </rPr>
          <t>Ivan Protega:</t>
        </r>
        <r>
          <rPr>
            <sz val="9"/>
            <color indexed="81"/>
            <rFont val="Tahoma"/>
            <charset val="1"/>
          </rPr>
          <t xml:space="preserve">
On Monthly Retail Meeting 09.12</t>
        </r>
      </text>
    </comment>
    <comment ref="AI81" authorId="1" shapeId="0" xr:uid="{35D67304-0526-409F-B90E-5FBD799C2490}">
      <text>
        <r>
          <rPr>
            <b/>
            <sz val="9"/>
            <color indexed="81"/>
            <rFont val="Tahoma"/>
            <charset val="1"/>
          </rPr>
          <t>Ivan Protega:</t>
        </r>
        <r>
          <rPr>
            <sz val="9"/>
            <color indexed="81"/>
            <rFont val="Tahoma"/>
            <charset val="1"/>
          </rPr>
          <t xml:space="preserve">
On MCRM 08.01</t>
        </r>
      </text>
    </comment>
    <comment ref="AJ81" authorId="1" shapeId="0" xr:uid="{943C8501-870F-4102-910E-D6B6F42F65C5}">
      <text>
        <r>
          <rPr>
            <b/>
            <sz val="9"/>
            <color indexed="81"/>
            <rFont val="Tahoma"/>
            <charset val="1"/>
          </rPr>
          <t>Ivan Protega:</t>
        </r>
        <r>
          <rPr>
            <sz val="9"/>
            <color indexed="81"/>
            <rFont val="Tahoma"/>
            <charset val="1"/>
          </rPr>
          <t xml:space="preserve">
On Monthly Retail Meeting 13.01</t>
        </r>
      </text>
    </comment>
    <comment ref="AL81" authorId="1" shapeId="0" xr:uid="{872F5E5C-C6DE-461A-8769-A2F63D6EC3E3}">
      <text>
        <r>
          <rPr>
            <b/>
            <sz val="9"/>
            <color indexed="81"/>
            <rFont val="Tahoma"/>
            <charset val="1"/>
          </rPr>
          <t>Ivan Protega:</t>
        </r>
        <r>
          <rPr>
            <sz val="9"/>
            <color indexed="81"/>
            <rFont val="Tahoma"/>
            <charset val="1"/>
          </rPr>
          <t xml:space="preserve">
On MCRM 30.01</t>
        </r>
      </text>
    </comment>
    <comment ref="AM81" authorId="1" shapeId="0" xr:uid="{B900D4D8-86C5-46D6-A15A-C0342EF0603C}">
      <text>
        <r>
          <rPr>
            <b/>
            <sz val="9"/>
            <color indexed="81"/>
            <rFont val="Tahoma"/>
            <charset val="1"/>
          </rPr>
          <t>Ivan Protega:</t>
        </r>
        <r>
          <rPr>
            <sz val="9"/>
            <color indexed="81"/>
            <rFont val="Tahoma"/>
            <charset val="1"/>
          </rPr>
          <t xml:space="preserve">
On National Retail Meeting 03.02</t>
        </r>
      </text>
    </comment>
    <comment ref="AQ81" authorId="1" shapeId="0" xr:uid="{E4E4342F-96C7-42DF-A93B-D6B8DE7BC3F9}">
      <text>
        <r>
          <rPr>
            <b/>
            <sz val="9"/>
            <color indexed="81"/>
            <rFont val="Tahoma"/>
            <charset val="1"/>
          </rPr>
          <t>Ivan Protega:</t>
        </r>
        <r>
          <rPr>
            <sz val="9"/>
            <color indexed="81"/>
            <rFont val="Tahoma"/>
            <charset val="1"/>
          </rPr>
          <t xml:space="preserve">
On National Retail Meeting 04.03 and Monthly Country RM meeting 03.03</t>
        </r>
      </text>
    </comment>
    <comment ref="AU81" authorId="1" shapeId="0" xr:uid="{68895684-914C-4C4B-A362-D5FF2AFB14E9}">
      <text>
        <r>
          <rPr>
            <b/>
            <sz val="9"/>
            <color indexed="81"/>
            <rFont val="Tahoma"/>
            <charset val="1"/>
          </rPr>
          <t>Ivan Protega:</t>
        </r>
        <r>
          <rPr>
            <sz val="9"/>
            <color indexed="81"/>
            <rFont val="Tahoma"/>
            <charset val="1"/>
          </rPr>
          <t xml:space="preserve">
On MCRM 03.04</t>
        </r>
      </text>
    </comment>
    <comment ref="AV81" authorId="1" shapeId="0" xr:uid="{E31D35B7-363C-4019-8EDC-5D2B542FF992}">
      <text>
        <r>
          <rPr>
            <b/>
            <sz val="9"/>
            <color indexed="81"/>
            <rFont val="Tahoma"/>
            <charset val="1"/>
          </rPr>
          <t>Ivan Protega:</t>
        </r>
        <r>
          <rPr>
            <sz val="9"/>
            <color indexed="81"/>
            <rFont val="Tahoma"/>
            <charset val="1"/>
          </rPr>
          <t xml:space="preserve">
On Monthly Retail Meeting 07.04</t>
        </r>
      </text>
    </comment>
    <comment ref="AZ81" authorId="1" shapeId="0" xr:uid="{6A4C2FA5-5D7F-457A-93AE-8E1AD64D51CA}">
      <text>
        <r>
          <rPr>
            <b/>
            <sz val="9"/>
            <color indexed="81"/>
            <rFont val="Tahoma"/>
            <charset val="1"/>
          </rPr>
          <t>Ivan Protega:</t>
        </r>
        <r>
          <rPr>
            <sz val="9"/>
            <color indexed="81"/>
            <rFont val="Tahoma"/>
            <charset val="1"/>
          </rPr>
          <t xml:space="preserve">
On National Retail Meeting 06.05 and Monthly Country RM meeting 05.05</t>
        </r>
      </text>
    </comment>
    <comment ref="BD81" authorId="1" shapeId="0" xr:uid="{E6AD0CF3-78CF-43BF-A739-E9B56047C02C}">
      <text>
        <r>
          <rPr>
            <b/>
            <sz val="9"/>
            <color indexed="81"/>
            <rFont val="Tahoma"/>
            <charset val="1"/>
          </rPr>
          <t>Ivan Protega:</t>
        </r>
        <r>
          <rPr>
            <sz val="9"/>
            <color indexed="81"/>
            <rFont val="Tahoma"/>
            <charset val="1"/>
          </rPr>
          <t xml:space="preserve">
On National Retail Meeting 03.06</t>
        </r>
      </text>
    </comment>
    <comment ref="BH81" authorId="1" shapeId="0" xr:uid="{7417F693-22C2-45B5-8F9C-41AA74063C7F}">
      <text>
        <r>
          <rPr>
            <b/>
            <sz val="9"/>
            <color indexed="81"/>
            <rFont val="Tahoma"/>
            <charset val="1"/>
          </rPr>
          <t>Ivan Protega:</t>
        </r>
        <r>
          <rPr>
            <sz val="9"/>
            <color indexed="81"/>
            <rFont val="Tahoma"/>
            <charset val="1"/>
          </rPr>
          <t xml:space="preserve">
On Monthly Retail Meeting 04.07</t>
        </r>
      </text>
    </comment>
    <comment ref="AD83" authorId="1" shapeId="0" xr:uid="{B26E2290-DFFB-4B0A-8D78-3A0975384726}">
      <text>
        <r>
          <rPr>
            <b/>
            <sz val="9"/>
            <color indexed="81"/>
            <rFont val="Tahoma"/>
            <charset val="1"/>
          </rPr>
          <t>Ivan Protega:</t>
        </r>
        <r>
          <rPr>
            <sz val="9"/>
            <color indexed="81"/>
            <rFont val="Tahoma"/>
            <charset val="1"/>
          </rPr>
          <t xml:space="preserve">
On CMT meeting 06.12</t>
        </r>
      </text>
    </comment>
    <comment ref="AS83" authorId="1" shapeId="0" xr:uid="{03C60360-8987-439B-BF99-CFA7B44DD556}">
      <text>
        <r>
          <rPr>
            <b/>
            <sz val="9"/>
            <color indexed="81"/>
            <rFont val="Tahoma"/>
            <charset val="1"/>
          </rPr>
          <t>Ivan Protega:</t>
        </r>
        <r>
          <rPr>
            <sz val="9"/>
            <color indexed="81"/>
            <rFont val="Tahoma"/>
            <charset val="1"/>
          </rPr>
          <t xml:space="preserve">
On CMT meeting 17.03</t>
        </r>
      </text>
    </comment>
    <comment ref="BE83" authorId="1" shapeId="0" xr:uid="{8008252F-68DD-48A8-80AB-2E2B8F8DED01}">
      <text>
        <r>
          <rPr>
            <b/>
            <sz val="9"/>
            <color indexed="81"/>
            <rFont val="Tahoma"/>
            <charset val="1"/>
          </rPr>
          <t>Ivan Protega:</t>
        </r>
        <r>
          <rPr>
            <sz val="9"/>
            <color indexed="81"/>
            <rFont val="Tahoma"/>
            <charset val="1"/>
          </rPr>
          <t xml:space="preserve">
On CMT meeting 09.06</t>
        </r>
      </text>
    </comment>
    <comment ref="R85" authorId="1" shapeId="0" xr:uid="{21858B40-CB9B-4184-89D9-04619F71A54D}">
      <text>
        <r>
          <rPr>
            <b/>
            <sz val="9"/>
            <color indexed="81"/>
            <rFont val="Tahoma"/>
            <charset val="1"/>
          </rPr>
          <t>Ivan Protega:</t>
        </r>
        <r>
          <rPr>
            <sz val="9"/>
            <color indexed="81"/>
            <rFont val="Tahoma"/>
            <charset val="1"/>
          </rPr>
          <t xml:space="preserve">
On National Retail meeting for DMs and BP Kick off for HO</t>
        </r>
      </text>
    </comment>
    <comment ref="T85" authorId="1" shapeId="0" xr:uid="{B33A3FC9-0748-46B9-A21E-E2F1350A29E1}">
      <text>
        <r>
          <rPr>
            <b/>
            <sz val="9"/>
            <color indexed="81"/>
            <rFont val="Tahoma"/>
            <family val="2"/>
            <charset val="238"/>
          </rPr>
          <t>Ivan Protega:</t>
        </r>
        <r>
          <rPr>
            <sz val="9"/>
            <color indexed="81"/>
            <rFont val="Tahoma"/>
            <family val="2"/>
            <charset val="238"/>
          </rPr>
          <t xml:space="preserve">
On Country SM meeting for SMs</t>
        </r>
      </text>
    </comment>
    <comment ref="R86" authorId="1" shapeId="0" xr:uid="{57007EA6-960A-48F8-94E8-91C3C95F8B36}">
      <text>
        <r>
          <rPr>
            <b/>
            <sz val="9"/>
            <color indexed="81"/>
            <rFont val="Tahoma"/>
            <charset val="1"/>
          </rPr>
          <t>Ivan Protega:</t>
        </r>
        <r>
          <rPr>
            <sz val="9"/>
            <color indexed="81"/>
            <rFont val="Tahoma"/>
            <charset val="1"/>
          </rPr>
          <t xml:space="preserve">
On National Retail meeting for DMs and BP Kick off for HO</t>
        </r>
      </text>
    </comment>
    <comment ref="T86" authorId="1" shapeId="0" xr:uid="{F9B595BE-D906-4B05-BF82-559E8D33E9F9}">
      <text>
        <r>
          <rPr>
            <b/>
            <sz val="9"/>
            <color indexed="81"/>
            <rFont val="Tahoma"/>
            <family val="2"/>
            <charset val="238"/>
          </rPr>
          <t>Ivan Protega:</t>
        </r>
        <r>
          <rPr>
            <sz val="9"/>
            <color indexed="81"/>
            <rFont val="Tahoma"/>
            <family val="2"/>
            <charset val="238"/>
          </rPr>
          <t xml:space="preserve">
On Country SM meeting for SMs</t>
        </r>
      </text>
    </comment>
    <comment ref="AD88" authorId="1" shapeId="0" xr:uid="{4EC16A75-B5D5-45A0-BF7C-51FBCC8B4302}">
      <text>
        <r>
          <rPr>
            <b/>
            <sz val="9"/>
            <color indexed="81"/>
            <rFont val="Tahoma"/>
            <charset val="1"/>
          </rPr>
          <t>Ivan Protega:</t>
        </r>
        <r>
          <rPr>
            <sz val="9"/>
            <color indexed="81"/>
            <rFont val="Tahoma"/>
            <charset val="1"/>
          </rPr>
          <t xml:space="preserve">
On CMT meeting 06.12</t>
        </r>
      </text>
    </comment>
    <comment ref="AS88" authorId="1" shapeId="0" xr:uid="{095EF5E4-C5DB-4AD9-B99B-D42EB24B135C}">
      <text>
        <r>
          <rPr>
            <b/>
            <sz val="9"/>
            <color indexed="81"/>
            <rFont val="Tahoma"/>
            <charset val="1"/>
          </rPr>
          <t>Ivan Protega:</t>
        </r>
        <r>
          <rPr>
            <sz val="9"/>
            <color indexed="81"/>
            <rFont val="Tahoma"/>
            <charset val="1"/>
          </rPr>
          <t xml:space="preserve">
On CMT meeting 17.03</t>
        </r>
      </text>
    </comment>
    <comment ref="BE88" authorId="1" shapeId="0" xr:uid="{B004284B-3034-464A-90D4-6A682A2A8D66}">
      <text>
        <r>
          <rPr>
            <b/>
            <sz val="9"/>
            <color indexed="81"/>
            <rFont val="Tahoma"/>
            <charset val="1"/>
          </rPr>
          <t>Ivan Protega:</t>
        </r>
        <r>
          <rPr>
            <sz val="9"/>
            <color indexed="81"/>
            <rFont val="Tahoma"/>
            <charset val="1"/>
          </rPr>
          <t xml:space="preserve">
On CMT meeting 09.06</t>
        </r>
      </text>
    </comment>
    <comment ref="R129" authorId="1" shapeId="0" xr:uid="{551760B2-E4D6-4351-8C42-9A177F8AEC08}">
      <text>
        <r>
          <rPr>
            <b/>
            <sz val="9"/>
            <color indexed="81"/>
            <rFont val="Tahoma"/>
            <charset val="1"/>
          </rPr>
          <t>Ivan Protega:</t>
        </r>
        <r>
          <rPr>
            <sz val="9"/>
            <color indexed="81"/>
            <rFont val="Tahoma"/>
            <charset val="1"/>
          </rPr>
          <t xml:space="preserve">
Secure alignement for each country separately</t>
        </r>
      </text>
    </comment>
    <comment ref="R139" authorId="1" shapeId="0" xr:uid="{9CEEEE0C-0BE5-4259-A3F8-45D1F0535D7E}">
      <text>
        <r>
          <rPr>
            <b/>
            <sz val="9"/>
            <color indexed="81"/>
            <rFont val="Tahoma"/>
            <charset val="1"/>
          </rPr>
          <t>Ivan Protega:</t>
        </r>
        <r>
          <rPr>
            <sz val="9"/>
            <color indexed="81"/>
            <rFont val="Tahoma"/>
            <charset val="1"/>
          </rPr>
          <t xml:space="preserve">
On National Retail meeting for DMs and BP Kick off for HO</t>
        </r>
      </text>
    </comment>
    <comment ref="T139" authorId="1" shapeId="0" xr:uid="{0BA510D1-8DC3-4288-8B6F-BEB36ACA8D85}">
      <text>
        <r>
          <rPr>
            <b/>
            <sz val="9"/>
            <color indexed="81"/>
            <rFont val="Tahoma"/>
            <family val="2"/>
            <charset val="238"/>
          </rPr>
          <t>Ivan Protega:</t>
        </r>
        <r>
          <rPr>
            <sz val="9"/>
            <color indexed="81"/>
            <rFont val="Tahoma"/>
            <family val="2"/>
            <charset val="238"/>
          </rPr>
          <t xml:space="preserve">
On Country SM meeting for SMs</t>
        </r>
      </text>
    </comment>
    <comment ref="X140" authorId="1" shapeId="0" xr:uid="{94B25A64-0856-4543-A236-513027E45DD3}">
      <text>
        <r>
          <rPr>
            <b/>
            <sz val="9"/>
            <color indexed="81"/>
            <rFont val="Tahoma"/>
            <charset val="1"/>
          </rPr>
          <t>Ivan Protega:</t>
        </r>
        <r>
          <rPr>
            <sz val="9"/>
            <color indexed="81"/>
            <rFont val="Tahoma"/>
            <charset val="1"/>
          </rPr>
          <t xml:space="preserve">
W43 - 21.10 during SOL meeting</t>
        </r>
      </text>
    </comment>
    <comment ref="AJ147" authorId="1" shapeId="0" xr:uid="{B3143D33-EDA3-4E38-9B5F-880C17CEDABF}">
      <text>
        <r>
          <rPr>
            <b/>
            <sz val="9"/>
            <color indexed="81"/>
            <rFont val="Tahoma"/>
            <charset val="1"/>
          </rPr>
          <t>Ivan Protega:</t>
        </r>
        <r>
          <rPr>
            <sz val="9"/>
            <color indexed="81"/>
            <rFont val="Tahoma"/>
            <charset val="1"/>
          </rPr>
          <t xml:space="preserve">
During QM meeting 16.01</t>
        </r>
      </text>
    </comment>
    <comment ref="U151" authorId="1" shapeId="0" xr:uid="{81672CFA-710B-40B3-8A59-1F08CD4AE325}">
      <text>
        <r>
          <rPr>
            <b/>
            <sz val="9"/>
            <color indexed="81"/>
            <rFont val="Tahoma"/>
            <charset val="1"/>
          </rPr>
          <t>Ivan Protega:</t>
        </r>
        <r>
          <rPr>
            <sz val="9"/>
            <color indexed="81"/>
            <rFont val="Tahoma"/>
            <charset val="1"/>
          </rPr>
          <t xml:space="preserve">
During QM meeting 03.10</t>
        </r>
      </text>
    </comment>
    <comment ref="AJ151" authorId="1" shapeId="0" xr:uid="{7E0FC0B8-0F9B-404B-ACC7-906138BB5627}">
      <text>
        <r>
          <rPr>
            <b/>
            <sz val="9"/>
            <color indexed="81"/>
            <rFont val="Tahoma"/>
            <charset val="1"/>
          </rPr>
          <t>Ivan Protega:</t>
        </r>
        <r>
          <rPr>
            <sz val="9"/>
            <color indexed="81"/>
            <rFont val="Tahoma"/>
            <charset val="1"/>
          </rPr>
          <t xml:space="preserve">
During QM meeting 16.01</t>
        </r>
      </text>
    </comment>
    <comment ref="AU151" authorId="1" shapeId="0" xr:uid="{26AE5910-9731-4941-ABC4-B93BBE07447D}">
      <text>
        <r>
          <rPr>
            <b/>
            <sz val="9"/>
            <color indexed="81"/>
            <rFont val="Tahoma"/>
            <charset val="1"/>
          </rPr>
          <t>Ivan Protega:</t>
        </r>
        <r>
          <rPr>
            <sz val="9"/>
            <color indexed="81"/>
            <rFont val="Tahoma"/>
            <charset val="1"/>
          </rPr>
          <t xml:space="preserve">
During QM meeting 02.04</t>
        </r>
      </text>
    </comment>
    <comment ref="U153" authorId="1" shapeId="0" xr:uid="{680C1B46-9843-4D6D-8083-01822E3E27AD}">
      <text>
        <r>
          <rPr>
            <b/>
            <sz val="9"/>
            <color indexed="81"/>
            <rFont val="Tahoma"/>
            <charset val="1"/>
          </rPr>
          <t>Ivan Protega:</t>
        </r>
        <r>
          <rPr>
            <sz val="9"/>
            <color indexed="81"/>
            <rFont val="Tahoma"/>
            <charset val="1"/>
          </rPr>
          <t xml:space="preserve">
During QM meeting 03.10</t>
        </r>
      </text>
    </comment>
    <comment ref="AJ153" authorId="1" shapeId="0" xr:uid="{C417A09E-F1CA-41FB-A664-3BCAF7A61640}">
      <text>
        <r>
          <rPr>
            <b/>
            <sz val="9"/>
            <color indexed="81"/>
            <rFont val="Tahoma"/>
            <charset val="1"/>
          </rPr>
          <t>Ivan Protega:</t>
        </r>
        <r>
          <rPr>
            <sz val="9"/>
            <color indexed="81"/>
            <rFont val="Tahoma"/>
            <charset val="1"/>
          </rPr>
          <t xml:space="preserve">
During QM meeting 16.01</t>
        </r>
      </text>
    </comment>
    <comment ref="AU153" authorId="1" shapeId="0" xr:uid="{371BB0B0-0939-4A10-9EFA-EB7983182000}">
      <text>
        <r>
          <rPr>
            <b/>
            <sz val="9"/>
            <color indexed="81"/>
            <rFont val="Tahoma"/>
            <charset val="1"/>
          </rPr>
          <t>Ivan Protega:</t>
        </r>
        <r>
          <rPr>
            <sz val="9"/>
            <color indexed="81"/>
            <rFont val="Tahoma"/>
            <charset val="1"/>
          </rPr>
          <t xml:space="preserve">
During QM meeting 02.04</t>
        </r>
      </text>
    </comment>
    <comment ref="T156" authorId="1" shapeId="0" xr:uid="{4E9CF6DD-0528-467B-85F8-01FB382AAA20}">
      <text>
        <r>
          <rPr>
            <b/>
            <sz val="9"/>
            <color indexed="81"/>
            <rFont val="Tahoma"/>
            <charset val="1"/>
          </rPr>
          <t>Ivan Protega:</t>
        </r>
        <r>
          <rPr>
            <sz val="9"/>
            <color indexed="81"/>
            <rFont val="Tahoma"/>
            <charset val="1"/>
          </rPr>
          <t xml:space="preserve">
On Country SM meeting for XMAS</t>
        </r>
      </text>
    </comment>
    <comment ref="AR157" authorId="1" shapeId="0" xr:uid="{468D671D-3BD4-4D62-AC9D-C167F13AF9D1}">
      <text>
        <r>
          <rPr>
            <b/>
            <sz val="9"/>
            <color indexed="81"/>
            <rFont val="Tahoma"/>
            <charset val="1"/>
          </rPr>
          <t>Ivan Protega:</t>
        </r>
        <r>
          <rPr>
            <sz val="9"/>
            <color indexed="81"/>
            <rFont val="Tahoma"/>
            <charset val="1"/>
          </rPr>
          <t xml:space="preserve">
On Regional SM meeting for Garden</t>
        </r>
      </text>
    </comment>
    <comment ref="T160" authorId="1" shapeId="0" xr:uid="{F550E8F7-6062-44B1-9402-5FBB1F13161E}">
      <text>
        <r>
          <rPr>
            <b/>
            <sz val="9"/>
            <color indexed="81"/>
            <rFont val="Tahoma"/>
            <charset val="1"/>
          </rPr>
          <t>Ivan Protega:</t>
        </r>
        <r>
          <rPr>
            <sz val="9"/>
            <color indexed="81"/>
            <rFont val="Tahoma"/>
            <charset val="1"/>
          </rPr>
          <t xml:space="preserve">
Present to SMs on Country SM meeting</t>
        </r>
      </text>
    </comment>
    <comment ref="U160" authorId="1" shapeId="0" xr:uid="{134E2B2F-1505-4AE3-B7C7-063E2A604262}">
      <text>
        <r>
          <rPr>
            <b/>
            <sz val="9"/>
            <color indexed="81"/>
            <rFont val="Tahoma"/>
            <charset val="1"/>
          </rPr>
          <t>Ivan Protega:</t>
        </r>
        <r>
          <rPr>
            <sz val="9"/>
            <color indexed="81"/>
            <rFont val="Tahoma"/>
            <charset val="1"/>
          </rPr>
          <t xml:space="preserve">
Present to DMs on MRM in 10.2024</t>
        </r>
      </text>
    </comment>
    <comment ref="U161" authorId="1" shapeId="0" xr:uid="{726DBFCA-4EFD-4538-B8B9-272A1A143923}">
      <text>
        <r>
          <rPr>
            <b/>
            <sz val="9"/>
            <color indexed="81"/>
            <rFont val="Tahoma"/>
            <charset val="1"/>
          </rPr>
          <t>Ivan Protega:</t>
        </r>
        <r>
          <rPr>
            <sz val="9"/>
            <color indexed="81"/>
            <rFont val="Tahoma"/>
            <charset val="1"/>
          </rPr>
          <t xml:space="preserve">
Deadline to prepare visit plan</t>
        </r>
      </text>
    </comment>
    <comment ref="U164" authorId="1" shapeId="0" xr:uid="{FB437EB5-026F-4DD0-BB6A-4B6A997D327B}">
      <text>
        <r>
          <rPr>
            <b/>
            <sz val="9"/>
            <color indexed="81"/>
            <rFont val="Tahoma"/>
            <charset val="1"/>
          </rPr>
          <t>Ivan Protega:</t>
        </r>
        <r>
          <rPr>
            <sz val="9"/>
            <color indexed="81"/>
            <rFont val="Tahoma"/>
            <charset val="1"/>
          </rPr>
          <t xml:space="preserve">
On MCRM 04.10
</t>
        </r>
      </text>
    </comment>
    <comment ref="V164" authorId="1" shapeId="0" xr:uid="{2CBF5397-DFCE-4A04-8514-8A475CC0116F}">
      <text>
        <r>
          <rPr>
            <b/>
            <sz val="9"/>
            <color indexed="81"/>
            <rFont val="Tahoma"/>
            <charset val="1"/>
          </rPr>
          <t>Ivan Protega:</t>
        </r>
        <r>
          <rPr>
            <sz val="9"/>
            <color indexed="81"/>
            <rFont val="Tahoma"/>
            <charset val="1"/>
          </rPr>
          <t xml:space="preserve">
On Monthly Retail Meeting 07.10</t>
        </r>
      </text>
    </comment>
    <comment ref="Z164" authorId="1" shapeId="0" xr:uid="{0FF83340-8750-4DB0-B620-0C57F67A1C07}">
      <text>
        <r>
          <rPr>
            <b/>
            <sz val="9"/>
            <color indexed="81"/>
            <rFont val="Tahoma"/>
            <charset val="1"/>
          </rPr>
          <t>Ivan Protega:</t>
        </r>
        <r>
          <rPr>
            <sz val="9"/>
            <color indexed="81"/>
            <rFont val="Tahoma"/>
            <charset val="1"/>
          </rPr>
          <t xml:space="preserve">
On National Retail Meeting 06.11 and Monthly Country RM meeting 05.11</t>
        </r>
      </text>
    </comment>
    <comment ref="AD164" authorId="1" shapeId="0" xr:uid="{08A98ADC-828E-4ADE-B94D-3A0508186B3A}">
      <text>
        <r>
          <rPr>
            <b/>
            <sz val="9"/>
            <color indexed="81"/>
            <rFont val="Tahoma"/>
            <charset val="1"/>
          </rPr>
          <t>Ivan Protega:</t>
        </r>
        <r>
          <rPr>
            <sz val="9"/>
            <color indexed="81"/>
            <rFont val="Tahoma"/>
            <charset val="1"/>
          </rPr>
          <t xml:space="preserve">
On MCRM 06.12</t>
        </r>
      </text>
    </comment>
    <comment ref="AE164" authorId="1" shapeId="0" xr:uid="{FA320FB3-85A8-49B1-822F-D8314829E865}">
      <text>
        <r>
          <rPr>
            <b/>
            <sz val="9"/>
            <color indexed="81"/>
            <rFont val="Tahoma"/>
            <charset val="1"/>
          </rPr>
          <t>Ivan Protega:</t>
        </r>
        <r>
          <rPr>
            <sz val="9"/>
            <color indexed="81"/>
            <rFont val="Tahoma"/>
            <charset val="1"/>
          </rPr>
          <t xml:space="preserve">
On Monthly Retail Meeting 09.12</t>
        </r>
      </text>
    </comment>
    <comment ref="AI164" authorId="1" shapeId="0" xr:uid="{E90928FC-0604-4A44-9C17-0165929FC251}">
      <text>
        <r>
          <rPr>
            <b/>
            <sz val="9"/>
            <color indexed="81"/>
            <rFont val="Tahoma"/>
            <charset val="1"/>
          </rPr>
          <t>Ivan Protega:</t>
        </r>
        <r>
          <rPr>
            <sz val="9"/>
            <color indexed="81"/>
            <rFont val="Tahoma"/>
            <charset val="1"/>
          </rPr>
          <t xml:space="preserve">
On MCRM 08.01</t>
        </r>
      </text>
    </comment>
    <comment ref="AJ164" authorId="1" shapeId="0" xr:uid="{C8932820-9EB5-4E44-B15C-1563508CE3F1}">
      <text>
        <r>
          <rPr>
            <b/>
            <sz val="9"/>
            <color indexed="81"/>
            <rFont val="Tahoma"/>
            <charset val="1"/>
          </rPr>
          <t>Ivan Protega:</t>
        </r>
        <r>
          <rPr>
            <sz val="9"/>
            <color indexed="81"/>
            <rFont val="Tahoma"/>
            <charset val="1"/>
          </rPr>
          <t xml:space="preserve">
On Monthly Retail Meeting 13.01</t>
        </r>
      </text>
    </comment>
    <comment ref="AL164" authorId="1" shapeId="0" xr:uid="{AEC99723-B850-4199-A861-4E59ADEC0121}">
      <text>
        <r>
          <rPr>
            <b/>
            <sz val="9"/>
            <color indexed="81"/>
            <rFont val="Tahoma"/>
            <charset val="1"/>
          </rPr>
          <t>Ivan Protega:</t>
        </r>
        <r>
          <rPr>
            <sz val="9"/>
            <color indexed="81"/>
            <rFont val="Tahoma"/>
            <charset val="1"/>
          </rPr>
          <t xml:space="preserve">
On MCRM 30.01</t>
        </r>
      </text>
    </comment>
    <comment ref="AM164" authorId="1" shapeId="0" xr:uid="{21654FD1-ACD6-4D3C-B0CA-331F38AA24CF}">
      <text>
        <r>
          <rPr>
            <b/>
            <sz val="9"/>
            <color indexed="81"/>
            <rFont val="Tahoma"/>
            <charset val="1"/>
          </rPr>
          <t>Ivan Protega:</t>
        </r>
        <r>
          <rPr>
            <sz val="9"/>
            <color indexed="81"/>
            <rFont val="Tahoma"/>
            <charset val="1"/>
          </rPr>
          <t xml:space="preserve">
On National Retail Meeting 03.02</t>
        </r>
      </text>
    </comment>
    <comment ref="AQ164" authorId="1" shapeId="0" xr:uid="{51292757-47AA-4D75-8106-51DA6A118347}">
      <text>
        <r>
          <rPr>
            <b/>
            <sz val="9"/>
            <color indexed="81"/>
            <rFont val="Tahoma"/>
            <charset val="1"/>
          </rPr>
          <t>Ivan Protega:</t>
        </r>
        <r>
          <rPr>
            <sz val="9"/>
            <color indexed="81"/>
            <rFont val="Tahoma"/>
            <charset val="1"/>
          </rPr>
          <t xml:space="preserve">
On National Retail Meeting 04.03 and Monthly Country RM meeting 03.03</t>
        </r>
      </text>
    </comment>
    <comment ref="AU164" authorId="1" shapeId="0" xr:uid="{440E927C-23D5-4CF6-A80F-B24A1ED09F0C}">
      <text>
        <r>
          <rPr>
            <b/>
            <sz val="9"/>
            <color indexed="81"/>
            <rFont val="Tahoma"/>
            <charset val="1"/>
          </rPr>
          <t>Ivan Protega:</t>
        </r>
        <r>
          <rPr>
            <sz val="9"/>
            <color indexed="81"/>
            <rFont val="Tahoma"/>
            <charset val="1"/>
          </rPr>
          <t xml:space="preserve">
On MCRM 03.04</t>
        </r>
      </text>
    </comment>
    <comment ref="AV164" authorId="1" shapeId="0" xr:uid="{2D5C7C6B-725E-408B-A665-2BB42166F20A}">
      <text>
        <r>
          <rPr>
            <b/>
            <sz val="9"/>
            <color indexed="81"/>
            <rFont val="Tahoma"/>
            <charset val="1"/>
          </rPr>
          <t>Ivan Protega:</t>
        </r>
        <r>
          <rPr>
            <sz val="9"/>
            <color indexed="81"/>
            <rFont val="Tahoma"/>
            <charset val="1"/>
          </rPr>
          <t xml:space="preserve">
On Monthly Retail Meeting 07.04</t>
        </r>
      </text>
    </comment>
    <comment ref="AZ164" authorId="1" shapeId="0" xr:uid="{52CF7459-9081-45FA-9090-7380F2E56541}">
      <text>
        <r>
          <rPr>
            <b/>
            <sz val="9"/>
            <color indexed="81"/>
            <rFont val="Tahoma"/>
            <charset val="1"/>
          </rPr>
          <t>Ivan Protega:</t>
        </r>
        <r>
          <rPr>
            <sz val="9"/>
            <color indexed="81"/>
            <rFont val="Tahoma"/>
            <charset val="1"/>
          </rPr>
          <t xml:space="preserve">
On National Retail Meeting 06.05 and Monthly Country RM meeting 05.05</t>
        </r>
      </text>
    </comment>
    <comment ref="BD164" authorId="1" shapeId="0" xr:uid="{1F47164C-CAA1-4680-A1BE-587D2CA1C51A}">
      <text>
        <r>
          <rPr>
            <b/>
            <sz val="9"/>
            <color indexed="81"/>
            <rFont val="Tahoma"/>
            <charset val="1"/>
          </rPr>
          <t>Ivan Protega:</t>
        </r>
        <r>
          <rPr>
            <sz val="9"/>
            <color indexed="81"/>
            <rFont val="Tahoma"/>
            <charset val="1"/>
          </rPr>
          <t xml:space="preserve">
On National Retail Meeting 03.06</t>
        </r>
      </text>
    </comment>
    <comment ref="BH164" authorId="1" shapeId="0" xr:uid="{22A26694-A0B7-48F2-8BCA-E5DCEF0480AA}">
      <text>
        <r>
          <rPr>
            <b/>
            <sz val="9"/>
            <color indexed="81"/>
            <rFont val="Tahoma"/>
            <charset val="1"/>
          </rPr>
          <t>Ivan Protega:</t>
        </r>
        <r>
          <rPr>
            <sz val="9"/>
            <color indexed="81"/>
            <rFont val="Tahoma"/>
            <charset val="1"/>
          </rPr>
          <t xml:space="preserve">
On Monthly Retail Meeting 04.07</t>
        </r>
      </text>
    </comment>
    <comment ref="V172" authorId="1" shapeId="0" xr:uid="{F45B9453-88FF-4076-A0C9-DD682E30E25A}">
      <text>
        <r>
          <rPr>
            <b/>
            <sz val="9"/>
            <color indexed="81"/>
            <rFont val="Tahoma"/>
            <charset val="1"/>
          </rPr>
          <t>Ivan Protega:</t>
        </r>
        <r>
          <rPr>
            <sz val="9"/>
            <color indexed="81"/>
            <rFont val="Tahoma"/>
            <charset val="1"/>
          </rPr>
          <t xml:space="preserve">
During DepSM meeting 08.10</t>
        </r>
      </text>
    </comment>
    <comment ref="AA173" authorId="1" shapeId="0" xr:uid="{A66C59BD-F6EB-4296-9C70-CA3539C9D2E4}">
      <text>
        <r>
          <rPr>
            <b/>
            <sz val="9"/>
            <color indexed="81"/>
            <rFont val="Tahoma"/>
            <charset val="1"/>
          </rPr>
          <t>Ivan Protega:</t>
        </r>
        <r>
          <rPr>
            <sz val="9"/>
            <color indexed="81"/>
            <rFont val="Tahoma"/>
            <charset val="1"/>
          </rPr>
          <t xml:space="preserve">
Has to be conducted before BF</t>
        </r>
      </text>
    </comment>
    <comment ref="BB173" authorId="1" shapeId="0" xr:uid="{9F8AFD51-EC80-4A28-9457-65A3E8820BB2}">
      <text>
        <r>
          <rPr>
            <b/>
            <sz val="9"/>
            <color indexed="81"/>
            <rFont val="Tahoma"/>
            <charset val="1"/>
          </rPr>
          <t>Ivan Protega:</t>
        </r>
        <r>
          <rPr>
            <sz val="9"/>
            <color indexed="81"/>
            <rFont val="Tahoma"/>
            <charset val="1"/>
          </rPr>
          <t xml:space="preserve">
Has to be conducted before Summer Sale</t>
        </r>
      </text>
    </comment>
    <comment ref="H180" authorId="2" shapeId="0" xr:uid="{8EC5D139-9832-4B97-9088-C8A930B675C5}">
      <text>
        <r>
          <rPr>
            <b/>
            <sz val="9"/>
            <color indexed="81"/>
            <rFont val="Tahoma"/>
            <charset val="1"/>
          </rPr>
          <t>Igor Opacic:
- SM Tips &amp; Tricks – follow up novih stvari (izlaganje na ulazu, PL novi plakati…..itd)</t>
        </r>
      </text>
    </comment>
    <comment ref="T180" authorId="1" shapeId="0" xr:uid="{3D43779A-7EAF-46E1-8BCC-74B1B74B229C}">
      <text>
        <r>
          <rPr>
            <b/>
            <sz val="9"/>
            <color indexed="81"/>
            <rFont val="Tahoma"/>
            <charset val="1"/>
          </rPr>
          <t>Ivan Protega:</t>
        </r>
        <r>
          <rPr>
            <sz val="9"/>
            <color indexed="81"/>
            <rFont val="Tahoma"/>
            <charset val="1"/>
          </rPr>
          <t xml:space="preserve">
On Country SM meeting</t>
        </r>
      </text>
    </comment>
    <comment ref="Z182" authorId="1" shapeId="0" xr:uid="{93E40F77-CEEE-46B8-8EDD-F71E50264899}">
      <text>
        <r>
          <rPr>
            <b/>
            <sz val="9"/>
            <color indexed="81"/>
            <rFont val="Tahoma"/>
            <charset val="1"/>
          </rPr>
          <t>Ivan Protega:</t>
        </r>
        <r>
          <rPr>
            <sz val="9"/>
            <color indexed="81"/>
            <rFont val="Tahoma"/>
            <charset val="1"/>
          </rPr>
          <t xml:space="preserve">
On National Retail Meeting 06.11</t>
        </r>
      </text>
    </comment>
    <comment ref="S185" authorId="1" shapeId="0" xr:uid="{B031AEFF-BB80-439C-8514-24711F6FC3E6}">
      <text>
        <r>
          <rPr>
            <b/>
            <sz val="9"/>
            <color indexed="81"/>
            <rFont val="Tahoma"/>
            <charset val="1"/>
          </rPr>
          <t>Ivan Protega:</t>
        </r>
        <r>
          <rPr>
            <sz val="9"/>
            <color indexed="81"/>
            <rFont val="Tahoma"/>
            <charset val="1"/>
          </rPr>
          <t xml:space="preserve">
Publish on MYJYSK and send task</t>
        </r>
      </text>
    </comment>
    <comment ref="S186" authorId="1" shapeId="0" xr:uid="{D69536E3-6594-48ED-833A-A036A891CF39}">
      <text>
        <r>
          <rPr>
            <b/>
            <sz val="9"/>
            <color indexed="81"/>
            <rFont val="Tahoma"/>
            <charset val="1"/>
          </rPr>
          <t>Ivan Protega:</t>
        </r>
        <r>
          <rPr>
            <sz val="9"/>
            <color indexed="81"/>
            <rFont val="Tahoma"/>
            <charset val="1"/>
          </rPr>
          <t xml:space="preserve">
On Country SM meeting</t>
        </r>
      </text>
    </comment>
    <comment ref="V186" authorId="1" shapeId="0" xr:uid="{9889B817-EDDD-454B-89FF-948A81C7AE26}">
      <text>
        <r>
          <rPr>
            <b/>
            <sz val="9"/>
            <color indexed="81"/>
            <rFont val="Tahoma"/>
            <charset val="1"/>
          </rPr>
          <t>Ivan Protega:</t>
        </r>
        <r>
          <rPr>
            <sz val="9"/>
            <color indexed="81"/>
            <rFont val="Tahoma"/>
            <charset val="1"/>
          </rPr>
          <t xml:space="preserve">
During DepSM meeting 08.10</t>
        </r>
      </text>
    </comment>
    <comment ref="S191" authorId="1" shapeId="0" xr:uid="{52677C6A-EF84-4EAB-B24E-712E385F70EC}">
      <text>
        <r>
          <rPr>
            <b/>
            <sz val="9"/>
            <color indexed="81"/>
            <rFont val="Tahoma"/>
            <charset val="1"/>
          </rPr>
          <t>Ivan Protega:</t>
        </r>
        <r>
          <rPr>
            <sz val="9"/>
            <color indexed="81"/>
            <rFont val="Tahoma"/>
            <charset val="1"/>
          </rPr>
          <t xml:space="preserve">
On Country SM meeting</t>
        </r>
      </text>
    </comment>
    <comment ref="AA195" authorId="1" shapeId="0" xr:uid="{71E6AA4A-7F08-47EE-867E-91E4DBD2768F}">
      <text>
        <r>
          <rPr>
            <b/>
            <sz val="9"/>
            <color indexed="81"/>
            <rFont val="Tahoma"/>
            <charset val="1"/>
          </rPr>
          <t>Ivan Protega:</t>
        </r>
        <r>
          <rPr>
            <sz val="9"/>
            <color indexed="81"/>
            <rFont val="Tahoma"/>
            <charset val="1"/>
          </rPr>
          <t xml:space="preserve">
13.11 during SM meetings in district</t>
        </r>
      </text>
    </comment>
  </commentList>
</comments>
</file>

<file path=xl/sharedStrings.xml><?xml version="1.0" encoding="utf-8"?>
<sst xmlns="http://schemas.openxmlformats.org/spreadsheetml/2006/main" count="1786" uniqueCount="556">
  <si>
    <t>BSC</t>
  </si>
  <si>
    <t>#</t>
  </si>
  <si>
    <t>BSC Perspective</t>
  </si>
  <si>
    <t>BSC Focus area</t>
  </si>
  <si>
    <t>CSF Type</t>
  </si>
  <si>
    <t>CSF Title</t>
  </si>
  <si>
    <t>Impact</t>
  </si>
  <si>
    <t>Responsible</t>
  </si>
  <si>
    <t>Participants</t>
  </si>
  <si>
    <t>Comments</t>
  </si>
  <si>
    <t>Completion rate</t>
  </si>
  <si>
    <t>Finance</t>
  </si>
  <si>
    <t>Expansion</t>
  </si>
  <si>
    <t>JYSK</t>
  </si>
  <si>
    <t>36</t>
  </si>
  <si>
    <t>37</t>
  </si>
  <si>
    <t>38</t>
  </si>
  <si>
    <t>39</t>
  </si>
  <si>
    <t>40</t>
  </si>
  <si>
    <t>41</t>
  </si>
  <si>
    <t>42</t>
  </si>
  <si>
    <t>43</t>
  </si>
  <si>
    <t>44</t>
  </si>
  <si>
    <t>45</t>
  </si>
  <si>
    <t>46</t>
  </si>
  <si>
    <t>47</t>
  </si>
  <si>
    <t>48</t>
  </si>
  <si>
    <t>49</t>
  </si>
  <si>
    <t>50</t>
  </si>
  <si>
    <t>51</t>
  </si>
  <si>
    <t>52</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</si>
  <si>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</si>
  <si>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</si>
  <si>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</si>
  <si>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</si>
  <si>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</si>
  <si>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</si>
  <si>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</si>
  <si>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</si>
  <si>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</si>
  <si>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</si>
  <si>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</si>
  <si>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</si>
  <si>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</si>
  <si>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</si>
  <si>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</si>
  <si>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</si>
  <si>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</si>
  <si>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</si>
  <si>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</si>
  <si>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</si>
  <si>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</si>
  <si>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</si>
  <si>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</si>
  <si>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</si>
  <si>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</si>
  <si>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</si>
  <si>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</si>
  <si>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</si>
  <si>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</si>
  <si>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</si>
  <si>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</si>
  <si>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</si>
  <si>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</si>
  <si>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</si>
  <si>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</si>
  <si>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 xml:space="preserve"> </t>
  </si>
  <si>
    <t>Type of CSF</t>
  </si>
  <si>
    <t>Perspective</t>
  </si>
  <si>
    <t>Focus Area</t>
  </si>
  <si>
    <t>Even better cost management</t>
  </si>
  <si>
    <t>Reliable product quality</t>
  </si>
  <si>
    <t>Service Function</t>
  </si>
  <si>
    <t>Easy shopping</t>
  </si>
  <si>
    <t>Relevant assortment</t>
  </si>
  <si>
    <t>Local</t>
  </si>
  <si>
    <t>Sales growth</t>
  </si>
  <si>
    <t>Competent service</t>
  </si>
  <si>
    <t>Attractive stores</t>
  </si>
  <si>
    <t>Seamless cross channel</t>
  </si>
  <si>
    <t>Not started</t>
  </si>
  <si>
    <t>Not relevant</t>
  </si>
  <si>
    <t>RGB</t>
  </si>
  <si>
    <t>Color code and definition</t>
  </si>
  <si>
    <t>2.1</t>
  </si>
  <si>
    <t>9.1</t>
  </si>
  <si>
    <t>9.2</t>
  </si>
  <si>
    <t>10.1</t>
  </si>
  <si>
    <t>10.2</t>
  </si>
  <si>
    <t>Formulas for conditional formatting of perspectives</t>
  </si>
  <si>
    <t>Define</t>
  </si>
  <si>
    <t>Plan</t>
  </si>
  <si>
    <t>Communicate</t>
  </si>
  <si>
    <t>Do</t>
  </si>
  <si>
    <t>Follow-up</t>
  </si>
  <si>
    <t>Start</t>
  </si>
  <si>
    <t>Finish</t>
  </si>
  <si>
    <t>Fit for the future</t>
  </si>
  <si>
    <t>1.1</t>
  </si>
  <si>
    <t>1.2</t>
  </si>
  <si>
    <t>3.1</t>
  </si>
  <si>
    <t>3.2</t>
  </si>
  <si>
    <t>4.1</t>
  </si>
  <si>
    <t>4.2</t>
  </si>
  <si>
    <t>5.1</t>
  </si>
  <si>
    <t>5.2</t>
  </si>
  <si>
    <t>6.1</t>
  </si>
  <si>
    <t>6.2</t>
  </si>
  <si>
    <t>7.1</t>
  </si>
  <si>
    <t>7.2</t>
  </si>
  <si>
    <t>8.1</t>
  </si>
  <si>
    <t>8.2</t>
  </si>
  <si>
    <t>11.1</t>
  </si>
  <si>
    <t>11.2</t>
  </si>
  <si>
    <t>12.1</t>
  </si>
  <si>
    <t>12.2</t>
  </si>
  <si>
    <t>13.1</t>
  </si>
  <si>
    <t>13.2</t>
  </si>
  <si>
    <t>1.1.1</t>
  </si>
  <si>
    <t>Sub-action</t>
  </si>
  <si>
    <t>Action</t>
  </si>
  <si>
    <t>2.1.1</t>
  </si>
  <si>
    <t>3.1.1</t>
  </si>
  <si>
    <t>4.1.1</t>
  </si>
  <si>
    <t>5.1.1</t>
  </si>
  <si>
    <t>6.1.1</t>
  </si>
  <si>
    <t>7.1.1</t>
  </si>
  <si>
    <t>8.1.1</t>
  </si>
  <si>
    <t>9.1.1</t>
  </si>
  <si>
    <t>10.1.1</t>
  </si>
  <si>
    <t>11.1.1</t>
  </si>
  <si>
    <t>12.1.1</t>
  </si>
  <si>
    <t>13.1.1</t>
  </si>
  <si>
    <t>CSF and Actions</t>
  </si>
  <si>
    <t>CSF or Action</t>
  </si>
  <si>
    <t>Quick guide</t>
  </si>
  <si>
    <t>Excel sheet:</t>
  </si>
  <si>
    <r>
      <t xml:space="preserve">Updated automatically from </t>
    </r>
    <r>
      <rPr>
        <b/>
        <i/>
        <sz val="8"/>
        <color rgb="FF3F3F3F"/>
        <rFont val="Verdana"/>
        <family val="2"/>
      </rPr>
      <t>BP Actions</t>
    </r>
    <r>
      <rPr>
        <b/>
        <sz val="8"/>
        <color rgb="FF3F3F3F"/>
        <rFont val="Verdana"/>
        <family val="2"/>
      </rPr>
      <t xml:space="preserve"> sheet - </t>
    </r>
    <r>
      <rPr>
        <b/>
        <sz val="8"/>
        <color rgb="FFFF0000"/>
        <rFont val="Verdana"/>
        <family val="2"/>
      </rPr>
      <t>do not change</t>
    </r>
  </si>
  <si>
    <t>Make JYSK more sustainable</t>
  </si>
  <si>
    <t>Great store management</t>
  </si>
  <si>
    <t>Balanced flow of goods</t>
  </si>
  <si>
    <t>Improve earnings</t>
  </si>
  <si>
    <t>Effective marketing</t>
  </si>
  <si>
    <t>Strong talent pipeline</t>
  </si>
  <si>
    <t>Relevant training</t>
  </si>
  <si>
    <t>Internal processes</t>
  </si>
  <si>
    <t>Employees &amp; learning</t>
  </si>
  <si>
    <t>Customer first</t>
  </si>
  <si>
    <t>Attractive place to work</t>
  </si>
  <si>
    <t>Service function</t>
  </si>
  <si>
    <t>Upgrade web shops to 3.0</t>
  </si>
  <si>
    <t>Simplify communication to stores</t>
  </si>
  <si>
    <t xml:space="preserve">Optimise Retail Operations </t>
  </si>
  <si>
    <t>Optimise Retail Operations</t>
  </si>
  <si>
    <t>Attract the future</t>
  </si>
  <si>
    <t>Retain and empower our talent and performers</t>
  </si>
  <si>
    <t>Explore, implement and leverage Artificial Intelligence</t>
  </si>
  <si>
    <t>Secure the voice of the customer through insights</t>
  </si>
  <si>
    <t>Enhance benefits from RTM</t>
  </si>
  <si>
    <t>Improve delivery stability and service</t>
  </si>
  <si>
    <t>Improve situation-based marketing and branding</t>
  </si>
  <si>
    <t>Make “Great offers” more visible</t>
  </si>
  <si>
    <t>SSUC</t>
  </si>
  <si>
    <t>DEL</t>
  </si>
  <si>
    <t>JCU</t>
  </si>
  <si>
    <t>Customer First</t>
  </si>
  <si>
    <t>Improve online performance</t>
  </si>
  <si>
    <t>14.1</t>
  </si>
  <si>
    <t>14.1.1</t>
  </si>
  <si>
    <t>14.2</t>
  </si>
  <si>
    <t>IPR</t>
  </si>
  <si>
    <t>Optimize stock in stores</t>
  </si>
  <si>
    <t>15.1</t>
  </si>
  <si>
    <t>MSTEV</t>
  </si>
  <si>
    <t>Secure optimal stock level before and during Xmas and garden seasons</t>
  </si>
  <si>
    <t>Improve working with SMA and clearance articles</t>
  </si>
  <si>
    <t>Secure common focus from S&amp;E and retail to improve stock quality</t>
  </si>
  <si>
    <t>Define agenda for monthly "stock quality meeting" (RHOS, SAM, SAC, RM)</t>
  </si>
  <si>
    <t xml:space="preserve">Conduct monthly meeting and comunicate aligned actions to all involved parties </t>
  </si>
  <si>
    <t>Follow up on next monthly meeting and if needed through local focus areas</t>
  </si>
  <si>
    <t>15.1.1</t>
  </si>
  <si>
    <t>15.1.2</t>
  </si>
  <si>
    <t>15.2</t>
  </si>
  <si>
    <t>15.2.1</t>
  </si>
  <si>
    <t>15.2.2</t>
  </si>
  <si>
    <t>15.2.3</t>
  </si>
  <si>
    <t>15.2.4</t>
  </si>
  <si>
    <t>15.3</t>
  </si>
  <si>
    <t>15.3.1</t>
  </si>
  <si>
    <t>15.3.2</t>
  </si>
  <si>
    <t>15.3.3</t>
  </si>
  <si>
    <t>Increase number of customers</t>
  </si>
  <si>
    <t>IOP</t>
  </si>
  <si>
    <t>Improve communication of benefits internally and externally</t>
  </si>
  <si>
    <t>Define list of relevant benefits per country and prepare communication plan with country specific defined channels</t>
  </si>
  <si>
    <t>Adjust job ads and storytelling for better benefit communication/visibility</t>
  </si>
  <si>
    <t>HRBP's, ComM</t>
  </si>
  <si>
    <t>Monthly evaluate number of applicants and quality according to rating in SmartRecruiters and adjust communication accordingly</t>
  </si>
  <si>
    <t>HRBP's</t>
  </si>
  <si>
    <t>Quarterly follow up on CMT</t>
  </si>
  <si>
    <t>HRM</t>
  </si>
  <si>
    <t>3.3</t>
  </si>
  <si>
    <t>Secure quality of recruitment process</t>
  </si>
  <si>
    <t>3.3.1</t>
  </si>
  <si>
    <t>Increase focus on preffered profile, critical job factors and potential by DM/HRBP challenge every new employment and internal promotion</t>
  </si>
  <si>
    <t>HRBP's, RM's, DM's</t>
  </si>
  <si>
    <t>3.3.2</t>
  </si>
  <si>
    <t xml:space="preserve">Relaunch refferal program on SM meeting and HO kick off to increase quality of candidates and engagement of employees </t>
  </si>
  <si>
    <t>3.3.3</t>
  </si>
  <si>
    <t>Monthly present and discuss profiles of new employees and internal promotions on MRM</t>
  </si>
  <si>
    <t>HRBP's. RM's</t>
  </si>
  <si>
    <t>3.3.4</t>
  </si>
  <si>
    <t>Quarterly follow up on preffered profiles on CMT</t>
  </si>
  <si>
    <t>Build Influencer Team to secure strong engagement</t>
  </si>
  <si>
    <t>3.2.1</t>
  </si>
  <si>
    <t>Define selection process of influencers, level of involvement and goals of the team</t>
  </si>
  <si>
    <t>ComM, HR</t>
  </si>
  <si>
    <t>3.2.2</t>
  </si>
  <si>
    <t xml:space="preserve">Train Influencer Team and align cross country on targets and channels </t>
  </si>
  <si>
    <t>3.2.3</t>
  </si>
  <si>
    <t>Quarterly organize planning meetings for Influencer Team with tasks, goals and planned projects and campaigns</t>
  </si>
  <si>
    <t>3.2.4</t>
  </si>
  <si>
    <t>Quarterly evaluate campaign success and KPI's and adjust actions in EB calendar</t>
  </si>
  <si>
    <t>Roll out of new Learning Management System and Performance Managment system</t>
  </si>
  <si>
    <t>Prepare roll out plan and communicate on NRM and SM meeting</t>
  </si>
  <si>
    <t>DM's</t>
  </si>
  <si>
    <t>Follow up on roll out and implementation by HRBP's and DM's in Q3 and Q4</t>
  </si>
  <si>
    <t>HRBP's, DM's</t>
  </si>
  <si>
    <t>Improve new employee Onboarding process</t>
  </si>
  <si>
    <t>4.2.1</t>
  </si>
  <si>
    <t>Secure follow up on onboarding process by DM/HRBP/RM during 3 AS rounds, DM/HRBP operational days and RM/HRBP operational days</t>
  </si>
  <si>
    <t>HRBP's, DM's, RM's</t>
  </si>
  <si>
    <t>4.2.2</t>
  </si>
  <si>
    <t>Quarterly present onboarding survey results on MRM and define actions</t>
  </si>
  <si>
    <t>4.2.3</t>
  </si>
  <si>
    <t>Twice a year HoR and HRM follow up on onboarding process OTR with prepared check list and survey results</t>
  </si>
  <si>
    <t>HoR, HRM</t>
  </si>
  <si>
    <t>4.2.4</t>
  </si>
  <si>
    <t>4.3</t>
  </si>
  <si>
    <t>Launch wellbeing program for employees</t>
  </si>
  <si>
    <t>4.3.1</t>
  </si>
  <si>
    <t xml:space="preserve">Define topics and yearly wellbeing calendar - 5 months per FY we'll have wellbeing topic (How to eat healthy at work, How to deal with stress, financial literacy, Benefits of regular excersize ...) During those months we'll organize webinars on defined topis for all employees and post blogs and vlogs intenally. </t>
  </si>
  <si>
    <t>HR</t>
  </si>
  <si>
    <t>4.3.2</t>
  </si>
  <si>
    <t>Prepare communication plan: internally to promote wellbeing program and announce webinars and externally to promote additional benefits of working in JYSK</t>
  </si>
  <si>
    <t>HR, ComM</t>
  </si>
  <si>
    <t>4.3.3</t>
  </si>
  <si>
    <t>Prepare landing page for wellbeing materials for employees and promotional materials for external communication</t>
  </si>
  <si>
    <t>4.3.4</t>
  </si>
  <si>
    <t>Follow up on execution and adapt plan and communication</t>
  </si>
  <si>
    <t>4.4</t>
  </si>
  <si>
    <t>4.4.1</t>
  </si>
  <si>
    <t>4.4.2</t>
  </si>
  <si>
    <t>Monthly on MRM and MCRM present IO fullfilment and preffered profiles of employees on all levels</t>
  </si>
  <si>
    <t>HRBP's, HoR</t>
  </si>
  <si>
    <t>4.4.3</t>
  </si>
  <si>
    <t>DM's, HRBP's</t>
  </si>
  <si>
    <t>4.4.4</t>
  </si>
  <si>
    <t>Quarterly follow up on CMT and every second month HoR and HRM</t>
  </si>
  <si>
    <t>HRM, HoR</t>
  </si>
  <si>
    <t>Secure IO fulfilment and quality</t>
  </si>
  <si>
    <t>Present current status of IO fulfilment and percentage of preffered profiles on NRM and SM meeting in September to show reality check and secure focus</t>
  </si>
  <si>
    <t xml:space="preserve">Prepare actions for IO fulfilment and prefferred profile status according to results </t>
  </si>
  <si>
    <t>Secure even stronger external communication</t>
  </si>
  <si>
    <t>Insert headline in CP during DCP campaigns to promote online sales channels</t>
  </si>
  <si>
    <t>Three times per month include C&amp;C and OOPUS in IG stories and add IG highlight with steps for C&amp;C and OOPUS shopping</t>
  </si>
  <si>
    <t>After each new opening in a new city, include insertion in the first regular CP: "We opened our store at [address], near you, but you can also shop online at JYSK.si/hr/ba/rs."</t>
  </si>
  <si>
    <t>Increase awareness and knowledge on Online sales and improve internally communication</t>
  </si>
  <si>
    <t>Adjust CSC Training materials for stores on topic: What are the benefits for customers if purchase online, C&amp;C or OOPUS? and upgrade S&amp;S with its.</t>
  </si>
  <si>
    <t>Conduct upgraded S&amp;S training in all stores</t>
  </si>
  <si>
    <t>Monthly publish share of C&amp;C, OOPUS and Online sales on store/district/country level</t>
  </si>
  <si>
    <t>Secure fast Onboarding for all new hires in regards with Online sales</t>
  </si>
  <si>
    <t>Prepare training what will be held for new staff in SOL</t>
  </si>
  <si>
    <t>TTT SMs in SOL stores</t>
  </si>
  <si>
    <t>Conduct training for all new staff in SOL</t>
  </si>
  <si>
    <t>Follow up during regular On-boarding follow up</t>
  </si>
  <si>
    <t>Test SOT valid online only and promote JYSK online sales channels</t>
  </si>
  <si>
    <t>Prepare all materials (incl prices) for SOT valid online only and press conference</t>
  </si>
  <si>
    <t>During Annual party activate (when stores are closed) SOT valid Online only in JBA/JRS</t>
  </si>
  <si>
    <t>Organise press to promote Online only SOT (+ EB)</t>
  </si>
  <si>
    <t>Evaluate results together with S&amp;E</t>
  </si>
  <si>
    <t>Align about next activation according to results of test</t>
  </si>
  <si>
    <t>14.1.2</t>
  </si>
  <si>
    <t>14.1.3</t>
  </si>
  <si>
    <t>14.1.4</t>
  </si>
  <si>
    <t>14.1.5</t>
  </si>
  <si>
    <t>14.2.1</t>
  </si>
  <si>
    <t>14.2.2</t>
  </si>
  <si>
    <t>14.2.3</t>
  </si>
  <si>
    <t>14.2.4</t>
  </si>
  <si>
    <t>14.3</t>
  </si>
  <si>
    <t>14.3.1</t>
  </si>
  <si>
    <t>14.3.2</t>
  </si>
  <si>
    <t>14.3.3</t>
  </si>
  <si>
    <t>14.3.4</t>
  </si>
  <si>
    <t>14.4</t>
  </si>
  <si>
    <t>14.4.1</t>
  </si>
  <si>
    <t>14.4.2</t>
  </si>
  <si>
    <t>14.4.3</t>
  </si>
  <si>
    <t>14.4.4</t>
  </si>
  <si>
    <t>14.4.5</t>
  </si>
  <si>
    <t>2.1.2</t>
  </si>
  <si>
    <t>2.1.3</t>
  </si>
  <si>
    <t xml:space="preserve"> 2.1.4</t>
  </si>
  <si>
    <t xml:space="preserve"> 2.2</t>
  </si>
  <si>
    <t>Optimise store communication</t>
  </si>
  <si>
    <t xml:space="preserve"> 2.2.1</t>
  </si>
  <si>
    <t>RM, DM</t>
  </si>
  <si>
    <t xml:space="preserve"> 2.2.2</t>
  </si>
  <si>
    <t>Present new role to admin users and train them in correct usage of all communication channels</t>
  </si>
  <si>
    <t xml:space="preserve"> 2.2.3</t>
  </si>
  <si>
    <t>Store communication ambassador analyse once per quarter all communication to the stores</t>
  </si>
  <si>
    <t xml:space="preserve"> 2.2.4</t>
  </si>
  <si>
    <t>Present results to admin users and refresh knowledge about communication to the stores</t>
  </si>
  <si>
    <t xml:space="preserve"> 2.3</t>
  </si>
  <si>
    <t xml:space="preserve"> 2.3.1</t>
  </si>
  <si>
    <t>Create list of all locally implemented procedures</t>
  </si>
  <si>
    <t>RSS, DM, IA</t>
  </si>
  <si>
    <t xml:space="preserve"> 2.3.2</t>
  </si>
  <si>
    <t>Go through all and define which can be removed and how to improve locally implemented procedures which needs to stay</t>
  </si>
  <si>
    <t xml:space="preserve"> 2.3.3</t>
  </si>
  <si>
    <t xml:space="preserve"> 2.3.4</t>
  </si>
  <si>
    <t>DM follow up during AS (local focus area) on implementation</t>
  </si>
  <si>
    <t>Increase number of customers through trainings</t>
  </si>
  <si>
    <t>HR, RSS, DM, SM</t>
  </si>
  <si>
    <t>DM, SM</t>
  </si>
  <si>
    <t>Ensure regular follow up during the competition</t>
  </si>
  <si>
    <t>RC, DM, SM</t>
  </si>
  <si>
    <t>Publish end results and celebrate winners</t>
  </si>
  <si>
    <t>Increase number of customers through better campaign execution</t>
  </si>
  <si>
    <t>DM,HR,SM</t>
  </si>
  <si>
    <t>Reduce Staff cost</t>
  </si>
  <si>
    <t>Quarterly optimise number of employees based on turnover</t>
  </si>
  <si>
    <t>1.1.2</t>
  </si>
  <si>
    <t>OA</t>
  </si>
  <si>
    <t>RC</t>
  </si>
  <si>
    <t>SCM</t>
  </si>
  <si>
    <t>1.2.1</t>
  </si>
  <si>
    <t>FC, RC</t>
  </si>
  <si>
    <t>Define actions to reduce consumption</t>
  </si>
  <si>
    <t>1.2.2</t>
  </si>
  <si>
    <t>Choose one bottom store per district and analyze consumption</t>
  </si>
  <si>
    <t>1.3</t>
  </si>
  <si>
    <t>1.3.1</t>
  </si>
  <si>
    <t>1.3.2</t>
  </si>
  <si>
    <t>1.3.3</t>
  </si>
  <si>
    <t>Index productivity (JSI 109,5; JHR 106,9; JBA 109,6; JRS 109,3; JWB 108,7)</t>
  </si>
  <si>
    <t>Refresh staff clothes policy and follow up on ordering and costs</t>
  </si>
  <si>
    <t>Define 10% bottom stores in electricity consumption on quarterly base</t>
  </si>
  <si>
    <t>Quarterly follow up on improvment</t>
  </si>
  <si>
    <t>Reduce investment costs</t>
  </si>
  <si>
    <t>Put additional focus on investement costs by regulary benchmark of external supplier prices</t>
  </si>
  <si>
    <t>Reduce administrative cost</t>
  </si>
  <si>
    <t>Analyse number of regular store visits and supplier conditions</t>
  </si>
  <si>
    <t>3.3.5</t>
  </si>
  <si>
    <t>Non preferred profile employement/promotions must be approved by HRM/HOR</t>
  </si>
  <si>
    <t>DM's train SM's</t>
  </si>
  <si>
    <t>Implement promoting Online sales tell message and define how to promote JYSK Online advantages</t>
  </si>
  <si>
    <t>Prepare training for SM how to maintaine optimal stock level of seasonal articles and how to secure constant focus</t>
  </si>
  <si>
    <t>On SM meeting in September present project steps and conduct training for XMAS</t>
  </si>
  <si>
    <t>Follow up throught local focus area in Campain and commercial follow up in period between  W42 - W1 (XMAS) and W15 - W31  (Garden)</t>
  </si>
  <si>
    <t>On Regional SM meeting in March conduct training for Garden (incl. Learnings from Xmas)</t>
  </si>
  <si>
    <t>Prepare short in-store training for SM how to work with SMA and clearance articles in stores</t>
  </si>
  <si>
    <t>RM together with RSS create plan for visiting all stores and conducting in-store training</t>
  </si>
  <si>
    <t>Roll out in-store training in two phases (RSS with SM and SM with SA)</t>
  </si>
  <si>
    <t>Monthly follow on 20% bottom stores by DM based on SMA and Clearance report</t>
  </si>
  <si>
    <t>Follow up during Operational days and MRM by RMs</t>
  </si>
  <si>
    <t>Train DepSMs on DepSM meeting</t>
  </si>
  <si>
    <t>Follow up on training quality through sales attitude report and reality check through Campaign and commercial follow up local focus area</t>
  </si>
  <si>
    <t>Increase focus on right sales attitude through competitions</t>
  </si>
  <si>
    <t>Create materials and rules</t>
  </si>
  <si>
    <t>Communicate and roll out the competitions (Dec and Jun)</t>
  </si>
  <si>
    <t>DepSM train stores in Q1 and Q3 (Nov, May)</t>
  </si>
  <si>
    <t>Follow up on results and celebrate winners</t>
  </si>
  <si>
    <t>Refresh knowledge on campaign preparation and execution through best practice sharing on Country SM meeting</t>
  </si>
  <si>
    <t>Define most important campaigns on yearly level and organize competitions for employees through internal FB group</t>
  </si>
  <si>
    <t>Organise Campaign &amp; commercial follow up workshop for DMs at NRM to ensure same approach and alignment</t>
  </si>
  <si>
    <t>Prepare "Right Sales Attitude" training materials (including Customer conversion)</t>
  </si>
  <si>
    <t>Fight back on mattresses sales</t>
  </si>
  <si>
    <t>Increase knowledge about mattresses</t>
  </si>
  <si>
    <t>Conduct twice per year mattresses e-learning for all employees</t>
  </si>
  <si>
    <t>Prepare materials and refresh knowledge of usage of code 7 on Country SM meeting and DepSM meeting</t>
  </si>
  <si>
    <t>Secure costant focus in peak periods through competitions</t>
  </si>
  <si>
    <t>Prepare competition and comunicate it during SM meeting in districts</t>
  </si>
  <si>
    <t xml:space="preserve">Present role plays and roll out plan on Country SM meeting </t>
  </si>
  <si>
    <t>Prepare role plays for stores with focus on sales techniques and specifications</t>
  </si>
  <si>
    <t>Include follow up as local focus area in Campaign and commercial follow up</t>
  </si>
  <si>
    <t>Conduct training in stores after DepSM meeting</t>
  </si>
  <si>
    <t>Follow up on knowledge through Campaign and commercial follow up local focus area in October, and in March after e-learning round</t>
  </si>
  <si>
    <t>Prepare role play materials with specific examples</t>
  </si>
  <si>
    <t>Secure role playing at least on every second Monthly meeting in store according to performance</t>
  </si>
  <si>
    <t>Conduct competitions during December and June with focus on share of Gold mattresses in total mattresses sales</t>
  </si>
  <si>
    <t>Mattreses index 110</t>
  </si>
  <si>
    <t>1.4</t>
  </si>
  <si>
    <t>1.4.1</t>
  </si>
  <si>
    <t>Reduce Premise cost by reducing electricity consumption</t>
  </si>
  <si>
    <t>Reduce Premise cost by reducing waste costs</t>
  </si>
  <si>
    <t>1.2.3</t>
  </si>
  <si>
    <t>Reduce Premise cost by focusing on maintenance costs</t>
  </si>
  <si>
    <t>Prepare actions according to findings from analyse</t>
  </si>
  <si>
    <t>Prepare guideline for new office supplies supplier</t>
  </si>
  <si>
    <t xml:space="preserve">Send to DM's consumption of office supplies by stores and follow up on quarterly base </t>
  </si>
  <si>
    <t>1.4.2</t>
  </si>
  <si>
    <t>1.5</t>
  </si>
  <si>
    <t>1.5.1</t>
  </si>
  <si>
    <t>1.5.2</t>
  </si>
  <si>
    <t>1.6</t>
  </si>
  <si>
    <t>1.6.1</t>
  </si>
  <si>
    <t>Implement new goals setup</t>
  </si>
  <si>
    <t>Prepare training/communication materials for new goals/KPI setup</t>
  </si>
  <si>
    <t>Present and train DMs (National Retail Meeting) and SMs (Country SM meeting)</t>
  </si>
  <si>
    <t xml:space="preserve">SMs present and train all store staff </t>
  </si>
  <si>
    <t>DMs follow up on understanding during GSM days</t>
  </si>
  <si>
    <t>Communicate and train on SM meetings in district</t>
  </si>
  <si>
    <t>Improve mentoring and follow up of Talents and SMT's</t>
  </si>
  <si>
    <t>Organize twice a year WS with mentors for Talents and twice a year WS with mentors for SMT's to align on process and quality of mentoring</t>
  </si>
  <si>
    <t>HRBP, DM</t>
  </si>
  <si>
    <t>HRBP, RM</t>
  </si>
  <si>
    <t>Twice a year HoR and HRM follow up on talents and SMT's OTR with prepared overview</t>
  </si>
  <si>
    <t>3.1.2</t>
  </si>
  <si>
    <t>3.1.3</t>
  </si>
  <si>
    <t>3.1.4</t>
  </si>
  <si>
    <t>4.1.2</t>
  </si>
  <si>
    <t>4.1.3</t>
  </si>
  <si>
    <t>4.1.4</t>
  </si>
  <si>
    <t>4.5</t>
  </si>
  <si>
    <t>4.5.1</t>
  </si>
  <si>
    <t>4.5.2</t>
  </si>
  <si>
    <t>4.5.3</t>
  </si>
  <si>
    <t>4.5.4</t>
  </si>
  <si>
    <t>16.1</t>
  </si>
  <si>
    <t>16.1.1</t>
  </si>
  <si>
    <t>16.1.2</t>
  </si>
  <si>
    <t>16.1.3</t>
  </si>
  <si>
    <t>16.1.4</t>
  </si>
  <si>
    <t>16.2</t>
  </si>
  <si>
    <t>16.2.1</t>
  </si>
  <si>
    <t>16.2.2</t>
  </si>
  <si>
    <t>16.2.3</t>
  </si>
  <si>
    <t>16.3</t>
  </si>
  <si>
    <t>16.3.1</t>
  </si>
  <si>
    <t>16.3.2</t>
  </si>
  <si>
    <t>16.3.3</t>
  </si>
  <si>
    <t>17.1</t>
  </si>
  <si>
    <t>17.1.1</t>
  </si>
  <si>
    <t>17.1.2</t>
  </si>
  <si>
    <t>17.1.3</t>
  </si>
  <si>
    <t>17.1.4</t>
  </si>
  <si>
    <t>17.2</t>
  </si>
  <si>
    <t>17.2.1</t>
  </si>
  <si>
    <t>17.2.2</t>
  </si>
  <si>
    <t>17.2.3</t>
  </si>
  <si>
    <t>17.2.4</t>
  </si>
  <si>
    <t>17.3</t>
  </si>
  <si>
    <t>17.3.1</t>
  </si>
  <si>
    <t>17.3.2</t>
  </si>
  <si>
    <t>17.3.3</t>
  </si>
  <si>
    <t>17.3.4</t>
  </si>
  <si>
    <t>14.1.6</t>
  </si>
  <si>
    <t>Customer index 105</t>
  </si>
  <si>
    <t>Minimise locally implemented procedures</t>
  </si>
  <si>
    <t>Follow up on all allocation of seasonal and campaign articles during Quarterly meetings (Retail/S&amp;E)</t>
  </si>
  <si>
    <t>15.3.4</t>
  </si>
  <si>
    <t>15.3.5</t>
  </si>
  <si>
    <t>15.4</t>
  </si>
  <si>
    <t>15.4.1</t>
  </si>
  <si>
    <t>15.4.2</t>
  </si>
  <si>
    <t>15.4.3</t>
  </si>
  <si>
    <t>TTH &lt; 30</t>
  </si>
  <si>
    <t>IFR SM &gt; 80; IFR DepSM &gt; 70</t>
  </si>
  <si>
    <t>Online sales  index (JSI 110, JHR 110, JBA/JRS 115)
OOPUS Share &gt;2,0%
C&amp;C Share of orders picked within 30 min 98,0</t>
  </si>
  <si>
    <t>Stock index JWB 95
Stock turnover index 110
Index stock Clearance 80</t>
  </si>
  <si>
    <t>HR train DM's on MRM</t>
  </si>
  <si>
    <t>Define local AS rounds (IPR)</t>
  </si>
  <si>
    <t>Organise working group to prepare detailed communication and promoting plan for online sales channels (radio, flyers, in-store, online, pr…)</t>
  </si>
  <si>
    <t>Improve allocation process and better alingment between Retail, S&amp;E and FoG about seasonal articles</t>
  </si>
  <si>
    <t>15.1.3</t>
  </si>
  <si>
    <t>Secure feedback and alignment with FoG about most important seasonal articles, quantities and flow</t>
  </si>
  <si>
    <t>Organise regular meeting with S&amp;E to align about seasonal allocation quantites and flow for Xmas and Outdoor season</t>
  </si>
  <si>
    <t>CoMM</t>
  </si>
  <si>
    <t>RHOS; SMM</t>
  </si>
  <si>
    <t>SoMe; RHOS, SMM</t>
  </si>
  <si>
    <t>SMM; RHOS; CoMM</t>
  </si>
  <si>
    <t>SOME; CoMM</t>
  </si>
  <si>
    <t>SMM</t>
  </si>
  <si>
    <t>HR; CSM</t>
  </si>
  <si>
    <t>DM; SM</t>
  </si>
  <si>
    <t>DM</t>
  </si>
  <si>
    <t>HR; RM</t>
  </si>
  <si>
    <t>DM; RM; HR</t>
  </si>
  <si>
    <t>SMM; RHOS</t>
  </si>
  <si>
    <t>RHOS; SMM; HOR</t>
  </si>
  <si>
    <t>RM; RHOS; SAM</t>
  </si>
  <si>
    <t>RM; RHOS; SAM; FoG</t>
  </si>
  <si>
    <t>RM; HR</t>
  </si>
  <si>
    <t>RM</t>
  </si>
  <si>
    <t>RM; HR; RSS</t>
  </si>
  <si>
    <t>RM; RSS</t>
  </si>
  <si>
    <t>RM; RHOS</t>
  </si>
  <si>
    <t>RM; RHOS, SAM</t>
  </si>
  <si>
    <t>September and February</t>
  </si>
  <si>
    <t>SM, DepSM</t>
  </si>
  <si>
    <t>RM, HRM</t>
  </si>
  <si>
    <t>W36</t>
  </si>
  <si>
    <t>W46</t>
  </si>
  <si>
    <t>W9</t>
  </si>
  <si>
    <t>W41</t>
  </si>
  <si>
    <t>W51</t>
  </si>
  <si>
    <t>W21</t>
  </si>
  <si>
    <t>W45</t>
  </si>
  <si>
    <t>W25</t>
  </si>
  <si>
    <t>W43</t>
  </si>
  <si>
    <t>W13</t>
  </si>
  <si>
    <t>W37</t>
  </si>
  <si>
    <t>W38</t>
  </si>
  <si>
    <t>W32</t>
  </si>
  <si>
    <t>W39</t>
  </si>
  <si>
    <t>W35</t>
  </si>
  <si>
    <t>W48</t>
  </si>
  <si>
    <t>W26</t>
  </si>
  <si>
    <t>Clothes saving 
-7.000 eur</t>
  </si>
  <si>
    <t>Electricity saving 
-28.000 eur</t>
  </si>
  <si>
    <t>Waste saving 
-19.000</t>
  </si>
  <si>
    <t>Maintenance saving
-22.000</t>
  </si>
  <si>
    <t>Stationary saving
-25.000</t>
  </si>
  <si>
    <t>Investment savings
- 50.000 eur</t>
  </si>
  <si>
    <t>CD, HOR</t>
  </si>
  <si>
    <t>W47</t>
  </si>
  <si>
    <t>W24</t>
  </si>
  <si>
    <t>W40</t>
  </si>
  <si>
    <t>W44</t>
  </si>
  <si>
    <t>W18</t>
  </si>
  <si>
    <t>Define 1 store communication ambassador (RM) per country and describe the new role</t>
  </si>
  <si>
    <t>W52</t>
  </si>
  <si>
    <t>W12</t>
  </si>
  <si>
    <t>W42</t>
  </si>
  <si>
    <t>W5</t>
  </si>
  <si>
    <t>W27</t>
  </si>
  <si>
    <t>W49</t>
  </si>
  <si>
    <t>W4</t>
  </si>
  <si>
    <t>W14</t>
  </si>
  <si>
    <t>W3</t>
  </si>
  <si>
    <t>W19</t>
  </si>
  <si>
    <t>W59</t>
  </si>
  <si>
    <t>W10</t>
  </si>
  <si>
    <t>On MRM present status of Talents and SMT's after 1st modul of Talent programe and each modul of SMT programe</t>
  </si>
  <si>
    <t>W50</t>
  </si>
  <si>
    <t>Promote in-store Online campaign activities (Free Freight and Cyber days)</t>
  </si>
  <si>
    <t>Follow up on knowledge during GSM days in Round 1 and Round 2</t>
  </si>
  <si>
    <t>W34</t>
  </si>
  <si>
    <t>W29</t>
  </si>
  <si>
    <t>W11</t>
  </si>
  <si>
    <t>W31</t>
  </si>
  <si>
    <t>STO total 
(JSI/JBA/JRS &lt; 20;
JHR &lt; 15)</t>
  </si>
  <si>
    <t>STO new employees 
(JSI/JRS &lt; 25;
JHR/JBA &lt; 20)</t>
  </si>
  <si>
    <t>STO DepSM 
(JSI/JBA/JRS &lt; 20;
JHR &lt;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</si>
</sst>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theme="1"/>
      <name val="Calibri"/>
      <family val="2"/>
      <scheme val="minor"/>
    </font>
    <font>
      <sz val="11"/>
      <name val="Calibri"/>
      <family val="2"/>
      <scheme val="minor"/>
    </font>
    <font>
      <sz val="8"/>
      <color theme="0"/>
      <name val="Verdana"/>
      <family val="2"/>
    </font>
    <font>
      <b/>
      <sz val="8"/>
      <color theme="0"/>
      <name val="Verdana"/>
      <family val="2"/>
    </font>
    <font>
      <sz val="8"/>
      <name val="Verdana"/>
      <family val="2"/>
    </font>
    <font>
      <sz val="8"/>
      <color theme="1"/>
      <name val="Verdana"/>
      <family val="2"/>
    </font>
    <font>
      <u/>
      <sz val="8"/>
      <color theme="1"/>
      <name val="Verdana"/>
      <family val="2"/>
    </font>
    <font>
      <b/>
      <sz val="11"/>
      <color rgb="FF3F3F3F"/>
      <name val="Calibri"/>
      <family val="2"/>
      <scheme val="minor"/>
    </font>
    <font>
      <sz val="11"/>
      <color theme="0"/>
      <name val="Calibri"/>
      <family val="2"/>
      <scheme val="minor"/>
    </font>
    <font>
      <b/>
      <sz val="8"/>
      <color rgb="FF3F3F3F"/>
      <name val="Verdana"/>
      <family val="2"/>
    </font>
    <font>
      <b/>
      <sz val="8"/>
      <color rgb="FFFF0000"/>
      <name val="Verdana"/>
      <family val="2"/>
    </font>
    <font>
      <sz val="9"/>
      <color indexed="81"/>
      <name val="Tahoma"/>
      <family val="2"/>
    </font>
    <font>
      <b/>
      <sz val="9"/>
      <color indexed="81"/>
      <name val="Tahoma"/>
      <family val="2"/>
    </font>
    <font>
      <u/>
      <sz val="9"/>
      <color indexed="81"/>
      <name val="Tahoma"/>
      <family val="2"/>
    </font>
    <font>
      <sz val="16"/>
      <color theme="0"/>
      <name val="Verdana"/>
      <family val="2"/>
    </font>
    <font>
      <sz val="16"/>
      <color theme="1"/>
      <name val="Verdana"/>
      <family val="2"/>
    </font>
    <font>
      <sz val="12"/>
      <color theme="0"/>
      <name val="Verdana"/>
      <family val="2"/>
    </font>
    <font>
      <sz val="10"/>
      <color theme="1"/>
      <name val="Verdana"/>
      <family val="2"/>
    </font>
    <font>
      <b/>
      <i/>
      <sz val="8"/>
      <color rgb="FF3F3F3F"/>
      <name val="Verdana"/>
      <family val="2"/>
    </font>
    <font>
      <sz val="9"/>
      <color theme="0"/>
      <name val="Verdana"/>
      <family val="2"/>
    </font>
    <font>
      <sz val="9"/>
      <color theme="1"/>
      <name val="Verdana"/>
      <family val="2"/>
    </font>
    <font>
      <sz val="8"/>
      <name val="Calibri"/>
      <family val="2"/>
      <scheme val="minor"/>
    </font>
    <font>
      <sz val="9"/>
      <name val="Verdana"/>
      <family val="2"/>
    </font>
    <font>
      <b/>
      <sz val="9"/>
      <name val="Verdana"/>
      <family val="2"/>
      <charset val="238"/>
    </font>
    <font>
      <b/>
      <sz val="9"/>
      <color theme="0"/>
      <name val="Verdana"/>
      <family val="2"/>
      <charset val="238"/>
    </font>
    <font>
      <b/>
      <sz val="9"/>
      <color theme="1"/>
      <name val="Verdana"/>
      <family val="2"/>
      <charset val="238"/>
    </font>
    <font>
      <b/>
      <sz val="8"/>
      <color theme="1"/>
      <name val="Verdana"/>
      <family val="2"/>
      <charset val="238"/>
    </font>
    <font>
      <sz val="9"/>
      <color theme="1"/>
      <name val="Verdana"/>
      <family val="2"/>
      <charset val="238"/>
    </font>
    <font>
      <b/>
      <sz val="9"/>
      <color indexed="81"/>
      <name val="Tahoma"/>
      <charset val="1"/>
    </font>
    <font>
      <sz val="9"/>
      <name val="Verdana"/>
      <family val="2"/>
      <charset val="238"/>
    </font>
    <font>
      <sz val="9"/>
      <color theme="0"/>
      <name val="Verdana"/>
      <family val="2"/>
      <charset val="238"/>
    </font>
    <font>
      <sz val="8"/>
      <color theme="1"/>
      <name val="Verdana"/>
      <family val="2"/>
      <charset val="238"/>
    </font>
    <font>
      <b/>
      <sz val="8"/>
      <color theme="1"/>
      <name val="Verdana"/>
      <family val="2"/>
    </font>
    <font>
      <b/>
      <sz val="9"/>
      <color rgb="FF000000"/>
      <name val="Verdana"/>
      <family val="2"/>
      <charset val="238"/>
    </font>
    <font>
      <sz val="9"/>
      <color indexed="81"/>
      <name val="Tahoma"/>
      <charset val="1"/>
    </font>
    <font>
      <sz val="9"/>
      <color indexed="81"/>
      <name val="Tahoma"/>
      <family val="2"/>
      <charset val="238"/>
    </font>
    <font>
      <b/>
      <sz val="9"/>
      <color indexed="81"/>
      <name val="Tahoma"/>
      <family val="2"/>
      <charset val="238"/>
    </font>
    <font>
      <i/>
      <sz val="9"/>
      <color rgb="FFFF0000"/>
      <name val="Verdana"/>
      <family val="2"/>
      <charset val="238"/>
    </font>
  </fonts>
  <fills count="13">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2"/>
        <bgColor indexed="64"/>
      </patternFill>
    </fill>
    <fill>
      <patternFill patternType="solid">
        <fgColor rgb="FF00B0F0"/>
        <bgColor indexed="64"/>
      </patternFill>
    </fill>
    <fill>
      <patternFill patternType="solid">
        <fgColor rgb="FFFCD163"/>
        <bgColor indexed="64"/>
      </patternFill>
    </fill>
    <fill>
      <patternFill patternType="solid">
        <fgColor rgb="FFC5DEEF"/>
        <bgColor indexed="64"/>
      </patternFill>
    </fill>
    <fill>
      <patternFill patternType="solid">
        <fgColor rgb="FFB0CBA9"/>
        <bgColor indexed="64"/>
      </patternFill>
    </fill>
    <fill>
      <patternFill patternType="solid">
        <fgColor rgb="FFDF8E78"/>
        <bgColor indexed="64"/>
      </patternFill>
    </fill>
    <fill>
      <patternFill patternType="solid">
        <fgColor rgb="FFF2F2F2"/>
      </patternFill>
    </fill>
    <fill>
      <patternFill patternType="solid">
        <fgColor rgb="FF9FBACD"/>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bottom style="thin">
        <color indexed="64"/>
      </bottom>
      <diagonal/>
    </border>
    <border>
      <left style="thin">
        <color rgb="FF3F3F3F"/>
      </left>
      <right/>
      <top/>
      <bottom style="thin">
        <color indexed="64"/>
      </bottom>
      <diagonal/>
    </border>
    <border>
      <left/>
      <right/>
      <top/>
      <bottom style="thin">
        <color indexed="64"/>
      </bottom>
      <diagonal/>
    </border>
    <border>
      <left style="hair">
        <color theme="0" tint="-0.499984740745262"/>
      </left>
      <right style="hair">
        <color theme="0" tint="-0.499984740745262"/>
      </right>
      <top style="hair">
        <color auto="1"/>
      </top>
      <bottom style="hair">
        <color auto="1"/>
      </bottom>
      <diagonal/>
    </border>
    <border>
      <left style="hair">
        <color theme="0" tint="-0.499984740745262"/>
      </left>
      <right style="hair">
        <color theme="0" tint="-0.499984740745262"/>
      </right>
      <top/>
      <bottom/>
      <diagonal/>
    </border>
  </borders>
  <cellStyleXfs count="3">
    <xf numFmtId="0" fontId="0" fillId="0" borderId="0"/>
    <xf numFmtId="9" fontId="1" fillId="0" borderId="0" applyFont="0" applyFill="0" applyBorder="0" applyAlignment="0" applyProtection="0"/>
    <xf numFmtId="0" fontId="8" fillId="10" borderId="3" applyNumberFormat="0" applyAlignment="0" applyProtection="0"/>
  </cellStyleXfs>
  <cellXfs count="85">
    <xf numFmtId="0" fontId="0" fillId="0" borderId="0" xfId="0"/>
    <xf numFmtId="0" fontId="2" fillId="0" borderId="0" xfId="0" applyFont="1"/>
    <xf numFmtId="9" fontId="0" fillId="0" borderId="0" xfId="1" applyFont="1" applyAlignment="1">
      <alignment horizont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6" fillId="0" borderId="0" xfId="0" applyFont="1"/>
    <xf numFmtId="0" fontId="6" fillId="0" borderId="0" xfId="0" applyFont="1" applyAlignment="1">
      <alignment horizontal="center"/>
    </xf>
    <xf numFmtId="0" fontId="5" fillId="0" borderId="0" xfId="0" applyFont="1" applyAlignment="1">
      <alignment vertical="center"/>
    </xf>
    <xf numFmtId="0" fontId="7" fillId="0" borderId="0" xfId="0" applyFont="1" applyAlignment="1">
      <alignment vertical="top"/>
    </xf>
    <xf numFmtId="0" fontId="6" fillId="0" borderId="0" xfId="0" applyFont="1" applyAlignment="1">
      <alignment vertical="top"/>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6" fillId="0" borderId="0" xfId="0" applyFont="1" applyAlignment="1">
      <alignment vertical="center"/>
    </xf>
    <xf numFmtId="0" fontId="6" fillId="0" borderId="0" xfId="0" applyFont="1" applyAlignment="1">
      <alignment horizontal="center" vertical="center"/>
    </xf>
    <xf numFmtId="0" fontId="4" fillId="2" borderId="4" xfId="0" applyFont="1" applyFill="1" applyBorder="1" applyAlignment="1">
      <alignment horizontal="center" vertical="center" wrapText="1"/>
    </xf>
    <xf numFmtId="0" fontId="4" fillId="2" borderId="4" xfId="0" applyFont="1" applyFill="1" applyBorder="1" applyAlignment="1">
      <alignment vertical="center" wrapText="1"/>
    </xf>
    <xf numFmtId="0" fontId="9" fillId="0" borderId="0" xfId="0" applyFont="1"/>
    <xf numFmtId="0" fontId="10" fillId="10" borderId="5" xfId="2" applyNumberFormat="1" applyFont="1" applyBorder="1" applyAlignment="1"/>
    <xf numFmtId="0" fontId="10" fillId="10" borderId="6" xfId="2" applyNumberFormat="1" applyFont="1" applyBorder="1" applyAlignment="1"/>
    <xf numFmtId="0" fontId="3" fillId="3" borderId="0" xfId="0" applyFont="1" applyFill="1" applyAlignment="1">
      <alignment vertical="center" wrapText="1"/>
    </xf>
    <xf numFmtId="0" fontId="0" fillId="0" borderId="0" xfId="0" applyAlignment="1">
      <alignment horizontal="left"/>
    </xf>
    <xf numFmtId="0" fontId="6" fillId="11" borderId="0" xfId="0" applyFont="1" applyFill="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9" fontId="6" fillId="0" borderId="1" xfId="1" applyFont="1" applyFill="1" applyBorder="1" applyAlignment="1">
      <alignment horizontal="center" vertical="center" wrapText="1"/>
    </xf>
    <xf numFmtId="0" fontId="15" fillId="2" borderId="0" xfId="0" applyFont="1" applyFill="1" applyAlignment="1">
      <alignment horizontal="left" vertical="center"/>
    </xf>
    <xf numFmtId="0" fontId="16" fillId="0" borderId="0" xfId="0" applyFont="1" applyAlignment="1">
      <alignment horizontal="left" vertical="center"/>
    </xf>
    <xf numFmtId="0" fontId="17" fillId="2" borderId="0" xfId="0" applyFont="1" applyFill="1" applyAlignment="1">
      <alignment horizontal="left" vertical="center"/>
    </xf>
    <xf numFmtId="0" fontId="18" fillId="0" borderId="0" xfId="0" applyFont="1" applyAlignment="1">
      <alignment vertical="center"/>
    </xf>
    <xf numFmtId="0" fontId="20" fillId="0" borderId="0" xfId="0" applyFont="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vertical="center" wrapText="1"/>
    </xf>
    <xf numFmtId="9" fontId="21" fillId="0" borderId="0" xfId="1" applyFont="1" applyAlignment="1">
      <alignment horizontal="center" vertical="center" wrapText="1"/>
    </xf>
    <xf numFmtId="0" fontId="21" fillId="0" borderId="8" xfId="0" applyFont="1" applyBorder="1" applyAlignment="1">
      <alignment vertical="center" wrapText="1"/>
    </xf>
    <xf numFmtId="0" fontId="21" fillId="0" borderId="7" xfId="0" applyFont="1" applyBorder="1" applyAlignment="1">
      <alignment horizontal="center" vertical="center" wrapText="1"/>
    </xf>
    <xf numFmtId="0" fontId="21" fillId="0" borderId="2" xfId="0" applyFont="1" applyBorder="1" applyAlignment="1">
      <alignment vertical="center" wrapText="1"/>
    </xf>
    <xf numFmtId="0" fontId="23" fillId="0" borderId="0" xfId="0" applyFont="1" applyAlignment="1">
      <alignment horizontal="left" vertical="center" wrapText="1"/>
    </xf>
    <xf numFmtId="0" fontId="23" fillId="0" borderId="0" xfId="0" applyFont="1" applyAlignment="1">
      <alignment vertical="center" wrapText="1"/>
    </xf>
    <xf numFmtId="0" fontId="21" fillId="0" borderId="0" xfId="0" quotePrefix="1" applyFont="1" applyAlignment="1">
      <alignment horizontal="center" vertical="center" wrapText="1"/>
    </xf>
    <xf numFmtId="0" fontId="24" fillId="0" borderId="0" xfId="0" applyFont="1" applyAlignment="1">
      <alignment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4" fillId="0" borderId="0" xfId="0" applyFont="1" applyAlignment="1">
      <alignment horizontal="left" vertical="center" wrapText="1"/>
    </xf>
    <xf numFmtId="0" fontId="26" fillId="0" borderId="0" xfId="0" applyFont="1" applyAlignment="1">
      <alignment vertical="center" wrapText="1"/>
    </xf>
    <xf numFmtId="9" fontId="26" fillId="0" borderId="0" xfId="1" applyFont="1" applyAlignment="1">
      <alignment horizontal="center" vertical="center" wrapText="1"/>
    </xf>
    <xf numFmtId="0" fontId="26" fillId="0" borderId="8" xfId="0" applyFont="1" applyBorder="1" applyAlignment="1">
      <alignment vertical="center" wrapText="1"/>
    </xf>
    <xf numFmtId="0" fontId="26" fillId="0" borderId="7" xfId="0" applyFont="1" applyBorder="1" applyAlignment="1">
      <alignment horizontal="center" vertical="center" wrapText="1"/>
    </xf>
    <xf numFmtId="0" fontId="26" fillId="0" borderId="2" xfId="0" applyFont="1" applyBorder="1" applyAlignment="1">
      <alignment vertical="center" wrapText="1"/>
    </xf>
    <xf numFmtId="0" fontId="27" fillId="0" borderId="0" xfId="0" applyFont="1"/>
    <xf numFmtId="0" fontId="26" fillId="0" borderId="0" xfId="0" quotePrefix="1" applyFont="1" applyAlignment="1">
      <alignment horizontal="center" vertical="center" wrapText="1"/>
    </xf>
    <xf numFmtId="16" fontId="26" fillId="0" borderId="0" xfId="0" quotePrefix="1" applyNumberFormat="1" applyFont="1" applyAlignment="1">
      <alignment horizontal="center" vertical="center" wrapText="1"/>
    </xf>
    <xf numFmtId="0" fontId="28" fillId="0" borderId="0" xfId="0" quotePrefix="1" applyFont="1" applyAlignment="1">
      <alignment horizontal="center" vertical="center" wrapText="1"/>
    </xf>
    <xf numFmtId="0" fontId="28" fillId="0" borderId="0" xfId="0" applyFont="1" applyAlignment="1">
      <alignment vertical="center" wrapText="1"/>
    </xf>
    <xf numFmtId="16" fontId="26" fillId="0" borderId="0" xfId="0" applyNumberFormat="1" applyFont="1" applyAlignment="1">
      <alignment horizontal="center" vertical="center" wrapText="1"/>
    </xf>
    <xf numFmtId="0" fontId="31" fillId="0" borderId="0" xfId="0" applyFont="1" applyAlignment="1">
      <alignment horizontal="center" vertical="center" wrapText="1"/>
    </xf>
    <xf numFmtId="0" fontId="28" fillId="0" borderId="0" xfId="0" applyFont="1" applyAlignment="1">
      <alignment horizontal="center" vertical="center" wrapText="1"/>
    </xf>
    <xf numFmtId="0" fontId="30" fillId="0" borderId="0" xfId="0" applyFont="1" applyAlignment="1">
      <alignment horizontal="left" vertical="center" wrapText="1"/>
    </xf>
    <xf numFmtId="0" fontId="30" fillId="0" borderId="0" xfId="0" applyFont="1" applyAlignment="1">
      <alignment vertical="center" wrapText="1"/>
    </xf>
    <xf numFmtId="9" fontId="28" fillId="0" borderId="0" xfId="1" applyFont="1" applyFill="1" applyAlignment="1">
      <alignment horizontal="center" vertical="center" wrapText="1"/>
    </xf>
    <xf numFmtId="0" fontId="28" fillId="0" borderId="8" xfId="0" applyFont="1" applyBorder="1" applyAlignment="1">
      <alignment vertical="center" wrapText="1"/>
    </xf>
    <xf numFmtId="0" fontId="28" fillId="0" borderId="7" xfId="0" applyFont="1" applyBorder="1" applyAlignment="1">
      <alignment horizontal="center" vertical="center" wrapText="1"/>
    </xf>
    <xf numFmtId="0" fontId="28" fillId="0" borderId="2" xfId="0" applyFont="1" applyBorder="1" applyAlignment="1">
      <alignment vertical="center" wrapText="1"/>
    </xf>
    <xf numFmtId="0" fontId="32" fillId="0" borderId="0" xfId="0" applyFont="1"/>
    <xf numFmtId="49" fontId="26" fillId="0" borderId="0" xfId="0" applyNumberFormat="1" applyFont="1" applyAlignment="1">
      <alignment horizontal="center" vertical="center" wrapText="1"/>
    </xf>
    <xf numFmtId="9" fontId="21" fillId="0" borderId="0" xfId="1" applyFont="1" applyFill="1" applyAlignment="1">
      <alignment horizontal="center" vertical="center" wrapText="1"/>
    </xf>
    <xf numFmtId="9" fontId="26" fillId="0" borderId="0" xfId="1" applyFont="1" applyFill="1" applyAlignment="1">
      <alignment horizontal="center" vertical="center" wrapText="1"/>
    </xf>
    <xf numFmtId="49" fontId="28" fillId="0" borderId="0" xfId="0" quotePrefix="1" applyNumberFormat="1" applyFont="1" applyAlignment="1">
      <alignment horizontal="center" vertical="center" wrapText="1"/>
    </xf>
    <xf numFmtId="0" fontId="6" fillId="0" borderId="0" xfId="0" applyFont="1" applyAlignment="1">
      <alignment vertical="center" wrapText="1"/>
    </xf>
    <xf numFmtId="0" fontId="33" fillId="0" borderId="0" xfId="0" applyFont="1" applyAlignment="1">
      <alignment vertical="center" wrapText="1"/>
    </xf>
    <xf numFmtId="49" fontId="26" fillId="0" borderId="0" xfId="0" quotePrefix="1" applyNumberFormat="1" applyFont="1" applyAlignment="1">
      <alignment horizontal="center" vertical="center" wrapText="1"/>
    </xf>
    <xf numFmtId="0" fontId="27" fillId="0" borderId="0" xfId="0" applyFont="1" applyAlignment="1">
      <alignment vertical="center" wrapText="1"/>
    </xf>
    <xf numFmtId="0" fontId="21" fillId="12" borderId="0" xfId="0" quotePrefix="1" applyFont="1" applyFill="1" applyAlignment="1">
      <alignment horizontal="center" vertical="center" wrapText="1"/>
    </xf>
    <xf numFmtId="0" fontId="26" fillId="12" borderId="0" xfId="0" quotePrefix="1" applyFont="1" applyFill="1" applyAlignment="1">
      <alignment horizontal="center" vertical="center" wrapText="1"/>
    </xf>
    <xf numFmtId="0" fontId="26" fillId="0" borderId="0" xfId="0" applyFont="1" applyAlignment="1">
      <alignment horizontal="left" vertical="center" wrapText="1"/>
    </xf>
    <xf numFmtId="0" fontId="28" fillId="0" borderId="0" xfId="0" applyFont="1" applyAlignment="1">
      <alignment horizontal="left" vertical="center" wrapText="1"/>
    </xf>
    <xf numFmtId="0" fontId="21" fillId="0" borderId="0" xfId="0" applyFont="1" applyAlignment="1">
      <alignment horizontal="left" vertical="center" wrapText="1"/>
    </xf>
    <xf numFmtId="0" fontId="33" fillId="0" borderId="0" xfId="0" applyFont="1" applyAlignment="1">
      <alignment horizontal="left" vertical="center" wrapText="1"/>
    </xf>
    <xf numFmtId="0" fontId="6" fillId="0" borderId="0" xfId="0" applyFont="1" applyAlignment="1">
      <alignment horizontal="left" vertical="center" wrapText="1"/>
    </xf>
    <xf numFmtId="0" fontId="34" fillId="0" borderId="0" xfId="0" applyFont="1" applyAlignment="1">
      <alignment vertical="center" wrapText="1"/>
    </xf>
    <xf numFmtId="0" fontId="5" fillId="4" borderId="2" xfId="0" applyFont="1" applyFill="1" applyBorder="1" applyAlignment="1">
      <alignment horizontal="center" vertical="center" textRotation="90" wrapText="1"/>
    </xf>
    <xf numFmtId="0" fontId="38" fillId="0" borderId="0" xfId="0" quotePrefix="1" applyFont="1" applyAlignment="1">
      <alignment vertical="center" wrapText="1"/>
    </xf>
  </cellXfs>
  <cellStyles count="3">
    <cellStyle name="Normal" xfId="0" builtinId="0"/>
    <cellStyle name="Output" xfId="2" builtinId="21"/>
    <cellStyle name="Percent" xfId="1" builtinId="5"/>
  </cellStyles>
  <dxfs count="442">
    <dxf>
      <border>
        <left style="thin">
          <color auto="1"/>
        </left>
        <right style="thin">
          <color auto="1"/>
        </right>
        <top style="hair">
          <color auto="1"/>
        </top>
        <bottom style="hair">
          <color auto="1"/>
        </bottom>
      </border>
    </dxf>
    <dxf>
      <border>
        <left style="thin">
          <color auto="1"/>
        </left>
        <right style="thin">
          <color auto="1"/>
        </right>
        <top style="hair">
          <color auto="1"/>
        </top>
        <bottom style="hair">
          <color auto="1"/>
        </bottom>
      </border>
    </dxf>
    <dxf>
      <fill>
        <patternFill>
          <bgColor rgb="FFFCD163"/>
        </patternFill>
      </fill>
    </dxf>
    <dxf>
      <fill>
        <patternFill>
          <bgColor rgb="FFC5DEEF"/>
        </patternFill>
      </fill>
    </dxf>
    <dxf>
      <fill>
        <patternFill>
          <bgColor rgb="FFB0CBA9"/>
        </patternFill>
      </fill>
    </dxf>
    <dxf>
      <fill>
        <patternFill>
          <bgColor rgb="FFDF8E78"/>
        </patternFill>
      </fill>
    </dxf>
    <dxf>
      <fill>
        <patternFill>
          <bgColor rgb="FFFCD163"/>
        </patternFill>
      </fill>
    </dxf>
    <dxf>
      <fill>
        <patternFill>
          <bgColor rgb="FFC5DEEF"/>
        </patternFill>
      </fill>
    </dxf>
    <dxf>
      <fill>
        <patternFill>
          <bgColor rgb="FFB0CBA9"/>
        </patternFill>
      </fill>
    </dxf>
    <dxf>
      <fill>
        <patternFill>
          <bgColor rgb="FFDF8E78"/>
        </patternFill>
      </fill>
    </dxf>
    <dxf>
      <fill>
        <patternFill>
          <bgColor rgb="FFFCD163"/>
        </patternFill>
      </fill>
    </dxf>
    <dxf>
      <fill>
        <patternFill>
          <bgColor rgb="FFC5DEEF"/>
        </patternFill>
      </fill>
    </dxf>
    <dxf>
      <fill>
        <patternFill>
          <bgColor rgb="FFB0CBA9"/>
        </patternFill>
      </fill>
    </dxf>
    <dxf>
      <fill>
        <patternFill>
          <bgColor rgb="FFDF8E78"/>
        </patternFill>
      </fill>
    </dxf>
    <dxf>
      <font>
        <color rgb="FF9FBACD"/>
      </font>
      <fill>
        <patternFill>
          <bgColor rgb="FF9FBACD"/>
        </patternFill>
      </fill>
    </dxf>
    <dxf>
      <font>
        <color rgb="FFE5BB12"/>
      </font>
      <fill>
        <patternFill>
          <bgColor rgb="FFE5BB12"/>
        </patternFill>
      </fill>
    </dxf>
    <dxf>
      <font>
        <color rgb="FF3F5F72"/>
      </font>
      <fill>
        <patternFill>
          <bgColor rgb="FF3F5F72"/>
        </patternFill>
      </fill>
    </dxf>
    <dxf>
      <font>
        <color rgb="FFA6BE95"/>
      </font>
      <fill>
        <patternFill>
          <bgColor rgb="FFA6BE95"/>
        </patternFill>
      </fill>
    </dxf>
    <dxf>
      <font>
        <color rgb="FFD47566"/>
      </font>
      <fill>
        <patternFill>
          <bgColor rgb="FFD47566"/>
        </patternFill>
      </fill>
    </dxf>
    <dxf>
      <font>
        <color rgb="FFE5BB12"/>
      </font>
      <fill>
        <patternFill>
          <bgColor rgb="FFE5BB12"/>
        </patternFill>
      </fill>
    </dxf>
    <dxf>
      <font>
        <color rgb="FF3F5F72"/>
      </font>
      <fill>
        <patternFill>
          <bgColor rgb="FF3F5F72"/>
        </patternFill>
      </fill>
    </dxf>
    <dxf>
      <font>
        <color rgb="FFA6BE95"/>
      </font>
      <fill>
        <patternFill>
          <bgColor rgb="FFA6BE95"/>
        </patternFill>
      </fill>
    </dxf>
    <dxf>
      <font>
        <color rgb="FFD47566"/>
      </font>
      <fill>
        <patternFill>
          <bgColor rgb="FFD47566"/>
        </patternFill>
      </fill>
    </dxf>
    <dxf>
      <font>
        <color rgb="FF9FBACD"/>
      </font>
      <fill>
        <patternFill>
          <bgColor rgb="FF9FBACD"/>
        </patternFill>
      </fill>
    </dxf>
    <dxf>
      <font>
        <color rgb="FFE5BB12"/>
      </font>
      <fill>
        <patternFill>
          <bgColor rgb="FFE5BB12"/>
        </patternFill>
      </fill>
    </dxf>
    <dxf>
      <font>
        <color rgb="FFD47566"/>
      </font>
      <fill>
        <patternFill>
          <bgColor rgb="FFD47566"/>
        </patternFill>
      </fill>
    </dxf>
    <dxf>
      <font>
        <color rgb="FF9FBACD"/>
      </font>
      <fill>
        <patternFill>
          <bgColor rgb="FF9FBACD"/>
        </patternFill>
      </fill>
    </dxf>
    <dxf>
      <font>
        <color rgb="FF3F5F72"/>
      </font>
      <fill>
        <patternFill>
          <bgColor rgb="FF3F5F72"/>
        </patternFill>
      </fill>
    </dxf>
    <dxf>
      <font>
        <color rgb="FFA6BE95"/>
      </font>
      <fill>
        <patternFill>
          <bgColor rgb="FFA6BE95"/>
        </patternFill>
      </fill>
    </dxf>
    <dxf>
      <font>
        <color rgb="FF3F5F72"/>
      </font>
      <fill>
        <patternFill>
          <bgColor rgb="FF3F5F72"/>
        </patternFill>
      </fill>
    </dxf>
    <dxf>
      <font>
        <color rgb="FFA6BE95"/>
      </font>
      <fill>
        <patternFill>
          <bgColor rgb="FFA6BE95"/>
        </patternFill>
      </fill>
    </dxf>
    <dxf>
      <font>
        <color rgb="FFD47566"/>
      </font>
      <fill>
        <patternFill>
          <bgColor rgb="FFD47566"/>
        </patternFill>
      </fill>
    </dxf>
    <dxf>
      <font>
        <color rgb="FF9FBACD"/>
      </font>
      <fill>
        <patternFill>
          <bgColor rgb="FF9FBACD"/>
        </patternFill>
      </fill>
    </dxf>
    <dxf>
      <font>
        <color rgb="FFE5BB12"/>
      </font>
      <fill>
        <patternFill>
          <bgColor rgb="FFE5BB12"/>
        </patternFill>
      </fill>
    </dxf>
    <dxf>
      <font>
        <color rgb="FF3F5F72"/>
      </font>
      <fill>
        <patternFill>
          <bgColor rgb="FF3F5F72"/>
        </patternFill>
      </fill>
    </dxf>
    <dxf>
      <font>
        <color rgb="FFE5BB12"/>
      </font>
      <fill>
        <patternFill>
          <bgColor rgb="FFE5BB12"/>
        </patternFill>
      </fill>
    </dxf>
    <dxf>
      <font>
        <color rgb="FFA6BE95"/>
      </font>
      <fill>
        <patternFill>
          <bgColor rgb="FFA6BE95"/>
        </patternFill>
      </fill>
    </dxf>
    <dxf>
      <font>
        <color rgb="FF9FBACD"/>
      </font>
      <fill>
        <patternFill>
          <bgColor rgb="FF9FBACD"/>
        </patternFill>
      </fill>
    </dxf>
    <dxf>
      <font>
        <color rgb="FFD47566"/>
      </font>
      <fill>
        <patternFill>
          <bgColor rgb="FFD47566"/>
        </patternFill>
      </fill>
    </dxf>
    <dxf>
      <font>
        <color rgb="FF9FBACD"/>
      </font>
      <fill>
        <patternFill>
          <bgColor rgb="FF9FBACD"/>
        </patternFill>
      </fill>
    </dxf>
    <dxf>
      <font>
        <color rgb="FFE5BB12"/>
      </font>
      <fill>
        <patternFill>
          <bgColor rgb="FFE5BB12"/>
        </patternFill>
      </fill>
    </dxf>
    <dxf>
      <font>
        <color rgb="FF3F5F72"/>
      </font>
      <fill>
        <patternFill>
          <bgColor rgb="FF3F5F72"/>
        </patternFill>
      </fill>
    </dxf>
    <dxf>
      <font>
        <color rgb="FFA6BE95"/>
      </font>
      <fill>
        <patternFill>
          <bgColor rgb="FFA6BE95"/>
        </patternFill>
      </fill>
    </dxf>
    <dxf>
      <font>
        <color rgb="FFD47566"/>
      </font>
      <fill>
        <patternFill>
          <bgColor rgb="FFD47566"/>
        </patternFill>
      </fill>
    </dxf>
    <dxf>
      <font>
        <color rgb="FFA6BE95"/>
      </font>
      <fill>
        <patternFill>
          <bgColor rgb="FFA6BE95"/>
        </patternFill>
      </fill>
    </dxf>
    <dxf>
      <font>
        <color rgb="FFD47566"/>
      </font>
      <fill>
        <patternFill>
          <bgColor rgb="FFD47566"/>
        </patternFill>
      </fill>
    </dxf>
    <dxf>
      <font>
        <color rgb="FF9FBACD"/>
      </font>
      <fill>
        <patternFill>
          <bgColor rgb="FF9FBACD"/>
        </patternFill>
      </fill>
    </dxf>
    <dxf>
      <font>
        <color rgb="FFE5BB12"/>
      </font>
      <fill>
        <patternFill>
          <bgColor rgb="FFE5BB12"/>
        </patternFill>
      </fill>
    </dxf>
    <dxf>
      <font>
        <color rgb="FF3F5F72"/>
      </font>
      <fill>
        <patternFill>
          <bgColor rgb="FF3F5F72"/>
        </patternFill>
      </fill>
    </dxf>
    <dxf>
      <font>
        <color rgb="FFE5BB12"/>
      </font>
      <fill>
        <patternFill>
          <bgColor rgb="FFE5BB12"/>
        </patternFill>
      </fill>
    </dxf>
    <dxf>
      <font>
        <color rgb="FFA6BE95"/>
      </font>
      <fill>
        <patternFill>
          <bgColor rgb="FFA6BE95"/>
        </patternFill>
      </fill>
    </dxf>
    <dxf>
      <font>
        <color rgb="FFD47566"/>
      </font>
      <fill>
        <patternFill>
          <bgColor rgb="FFD47566"/>
        </patternFill>
      </fill>
    </dxf>
    <dxf>
      <font>
        <color rgb="FF9FBACD"/>
      </font>
      <fill>
        <patternFill>
          <bgColor rgb="FF9FBACD"/>
        </patternFill>
      </fill>
    </dxf>
    <dxf>
      <font>
        <color rgb="FF3F5F72"/>
      </font>
      <fill>
        <patternFill>
          <bgColor rgb="FF3F5F72"/>
        </patternFill>
      </fill>
    </dxf>
    <dxf>
      <font>
        <color rgb="FF3F5F72"/>
      </font>
      <fill>
        <patternFill>
          <bgColor rgb="FF3F5F72"/>
        </patternFill>
      </fill>
    </dxf>
    <dxf>
      <font>
        <color rgb="FFE5BB12"/>
      </font>
      <fill>
        <patternFill>
          <bgColor rgb="FFE5BB12"/>
        </patternFill>
      </fill>
    </dxf>
    <dxf>
      <font>
        <color rgb="FFD47566"/>
      </font>
      <fill>
        <patternFill>
          <bgColor rgb="FFD47566"/>
        </patternFill>
      </fill>
    </dxf>
    <dxf>
      <font>
        <color rgb="FF9FBACD"/>
      </font>
      <fill>
        <patternFill>
          <bgColor rgb="FF9FBACD"/>
        </patternFill>
      </fill>
    </dxf>
    <dxf>
      <font>
        <color rgb="FFA6BE95"/>
      </font>
      <fill>
        <patternFill>
          <bgColor rgb="FFA6BE95"/>
        </patternFill>
      </fill>
    </dxf>
    <dxf>
      <font>
        <color rgb="FFE5BB12"/>
      </font>
      <fill>
        <patternFill>
          <bgColor rgb="FFE5BB12"/>
        </patternFill>
      </fill>
    </dxf>
    <dxf>
      <font>
        <color rgb="FF9FBACD"/>
      </font>
      <fill>
        <patternFill>
          <bgColor rgb="FF9FBACD"/>
        </patternFill>
      </fill>
    </dxf>
    <dxf>
      <font>
        <color rgb="FFD47566"/>
      </font>
      <fill>
        <patternFill>
          <bgColor rgb="FFD47566"/>
        </patternFill>
      </fill>
    </dxf>
    <dxf>
      <font>
        <color rgb="FFA6BE95"/>
      </font>
      <fill>
        <patternFill>
          <bgColor rgb="FFA6BE95"/>
        </patternFill>
      </fill>
    </dxf>
    <dxf>
      <font>
        <color rgb="FF3F5F72"/>
      </font>
      <fill>
        <patternFill>
          <bgColor rgb="FF3F5F72"/>
        </patternFill>
      </fill>
    </dxf>
    <dxf>
      <font>
        <color rgb="FF9FBACD"/>
      </font>
      <fill>
        <patternFill>
          <bgColor rgb="FF9FBACD"/>
        </patternFill>
      </fill>
    </dxf>
    <dxf>
      <font>
        <color rgb="FFE5BB12"/>
      </font>
      <fill>
        <patternFill>
          <bgColor rgb="FFE5BB12"/>
        </patternFill>
      </fill>
    </dxf>
    <dxf>
      <font>
        <color rgb="FFD47566"/>
      </font>
      <fill>
        <patternFill>
          <bgColor rgb="FFD47566"/>
        </patternFill>
      </fill>
    </dxf>
    <dxf>
      <font>
        <color rgb="FFA6BE95"/>
      </font>
      <fill>
        <patternFill>
          <bgColor rgb="FFA6BE95"/>
        </patternFill>
      </fill>
    </dxf>
    <dxf>
      <font>
        <color rgb="FF3F5F72"/>
      </font>
      <fill>
        <patternFill>
          <bgColor rgb="FF3F5F72"/>
        </patternFill>
      </fill>
    </dxf>
    <dxf>
      <font>
        <color rgb="FFA6BE95"/>
      </font>
      <fill>
        <patternFill>
          <bgColor rgb="FFA6BE95"/>
        </patternFill>
      </fill>
    </dxf>
    <dxf>
      <font>
        <color rgb="FF3F5F72"/>
      </font>
      <fill>
        <patternFill>
          <bgColor rgb="FF3F5F72"/>
        </patternFill>
      </fill>
    </dxf>
    <dxf>
      <font>
        <color rgb="FFE5BB12"/>
      </font>
      <fill>
        <patternFill>
          <bgColor rgb="FFE5BB12"/>
        </patternFill>
      </fill>
    </dxf>
    <dxf>
      <font>
        <color rgb="FF9FBACD"/>
      </font>
      <fill>
        <patternFill>
          <bgColor rgb="FF9FBACD"/>
        </patternFill>
      </fill>
    </dxf>
    <dxf>
      <font>
        <color rgb="FFD47566"/>
      </font>
      <fill>
        <patternFill>
          <bgColor rgb="FFD47566"/>
        </patternFill>
      </fill>
    </dxf>
    <dxf>
      <font>
        <color rgb="FF9FBACD"/>
      </font>
      <fill>
        <patternFill>
          <bgColor rgb="FF9FBACD"/>
        </patternFill>
      </fill>
    </dxf>
    <dxf>
      <font>
        <color rgb="FFD47566"/>
      </font>
      <fill>
        <patternFill>
          <bgColor rgb="FFD47566"/>
        </patternFill>
      </fill>
    </dxf>
    <dxf>
      <font>
        <color rgb="FFA6BE95"/>
      </font>
      <fill>
        <patternFill>
          <bgColor rgb="FFA6BE95"/>
        </patternFill>
      </fill>
    </dxf>
    <dxf>
      <font>
        <color rgb="FF3F5F72"/>
      </font>
      <fill>
        <patternFill>
          <bgColor rgb="FF3F5F72"/>
        </patternFill>
      </fill>
    </dxf>
    <dxf>
      <font>
        <color rgb="FFE5BB12"/>
      </font>
      <fill>
        <patternFill>
          <bgColor rgb="FFE5BB12"/>
        </patternFill>
      </fill>
    </dxf>
    <dxf>
      <font>
        <color rgb="FF9FBACD"/>
      </font>
      <fill>
        <patternFill>
          <bgColor rgb="FF9FBACD"/>
        </patternFill>
      </fill>
    </dxf>
    <dxf>
      <font>
        <color rgb="FFD47566"/>
      </font>
      <fill>
        <patternFill>
          <bgColor rgb="FFD47566"/>
        </patternFill>
      </fill>
    </dxf>
    <dxf>
      <font>
        <color rgb="FFA6BE95"/>
      </font>
      <fill>
        <patternFill>
          <bgColor rgb="FFA6BE95"/>
        </patternFill>
      </fill>
    </dxf>
    <dxf>
      <font>
        <color rgb="FFE5BB12"/>
      </font>
      <fill>
        <patternFill>
          <bgColor rgb="FFE5BB12"/>
        </patternFill>
      </fill>
    </dxf>
    <dxf>
      <font>
        <color rgb="FF3F5F72"/>
      </font>
      <fill>
        <patternFill>
          <bgColor rgb="FF3F5F72"/>
        </patternFill>
      </fill>
    </dxf>
    <dxf>
      <font>
        <color rgb="FF9FBACD"/>
      </font>
      <fill>
        <patternFill>
          <bgColor rgb="FF9FBACD"/>
        </patternFill>
      </fill>
    </dxf>
    <dxf>
      <font>
        <color rgb="FFD47566"/>
      </font>
      <fill>
        <patternFill>
          <bgColor rgb="FFD47566"/>
        </patternFill>
      </fill>
    </dxf>
    <dxf>
      <font>
        <color rgb="FFA6BE95"/>
      </font>
      <fill>
        <patternFill>
          <bgColor rgb="FFA6BE95"/>
        </patternFill>
      </fill>
    </dxf>
    <dxf>
      <font>
        <color rgb="FF3F5F72"/>
      </font>
      <fill>
        <patternFill>
          <bgColor rgb="FF3F5F72"/>
        </patternFill>
      </fill>
    </dxf>
    <dxf>
      <font>
        <color rgb="FFE5BB12"/>
      </font>
      <fill>
        <patternFill>
          <bgColor rgb="FFE5BB12"/>
        </patternFill>
      </fill>
    </dxf>
    <dxf>
      <font>
        <color rgb="FF9FBACD"/>
      </font>
      <fill>
        <patternFill>
          <bgColor rgb="FF9FBACD"/>
        </patternFill>
      </fill>
    </dxf>
    <dxf>
      <font>
        <color rgb="FFD47566"/>
      </font>
      <fill>
        <patternFill>
          <bgColor rgb="FFD47566"/>
        </patternFill>
      </fill>
    </dxf>
    <dxf>
      <font>
        <color rgb="FFA6BE95"/>
      </font>
      <fill>
        <patternFill>
          <bgColor rgb="FFA6BE95"/>
        </patternFill>
      </fill>
    </dxf>
    <dxf>
      <font>
        <color rgb="FF3F5F72"/>
      </font>
      <fill>
        <patternFill>
          <bgColor rgb="FF3F5F72"/>
        </patternFill>
      </fill>
    </dxf>
    <dxf>
      <font>
        <color rgb="FFE5BB12"/>
      </font>
      <fill>
        <patternFill>
          <bgColor rgb="FFE5BB12"/>
        </patternFill>
      </fill>
    </dxf>
    <dxf>
      <font>
        <color rgb="FFA6BE95"/>
      </font>
      <fill>
        <patternFill>
          <bgColor rgb="FFA6BE95"/>
        </patternFill>
      </fill>
    </dxf>
    <dxf>
      <font>
        <color rgb="FF3F5F72"/>
      </font>
      <fill>
        <patternFill>
          <bgColor rgb="FF3F5F72"/>
        </patternFill>
      </fill>
    </dxf>
    <dxf>
      <font>
        <color rgb="FFD47566"/>
      </font>
      <fill>
        <patternFill>
          <bgColor rgb="FFD47566"/>
        </patternFill>
      </fill>
    </dxf>
    <dxf>
      <font>
        <color rgb="FF9FBACD"/>
      </font>
      <fill>
        <patternFill>
          <bgColor rgb="FF9FBACD"/>
        </patternFill>
      </fill>
    </dxf>
    <dxf>
      <font>
        <color rgb="FFE5BB12"/>
      </font>
      <fill>
        <patternFill>
          <bgColor rgb="FFE5BB12"/>
        </patternFill>
      </fill>
    </dxf>
    <dxf>
      <font>
        <color rgb="FFE5BB12"/>
      </font>
      <fill>
        <patternFill>
          <bgColor rgb="FFE5BB12"/>
        </patternFill>
      </fill>
    </dxf>
    <dxf>
      <font>
        <color rgb="FF9FBACD"/>
      </font>
      <fill>
        <patternFill>
          <bgColor rgb="FF9FBACD"/>
        </patternFill>
      </fill>
    </dxf>
    <dxf>
      <font>
        <color rgb="FFD47566"/>
      </font>
      <fill>
        <patternFill>
          <bgColor rgb="FFD47566"/>
        </patternFill>
      </fill>
    </dxf>
    <dxf>
      <font>
        <color rgb="FFA6BE95"/>
      </font>
      <fill>
        <patternFill>
          <bgColor rgb="FFA6BE95"/>
        </patternFill>
      </fill>
    </dxf>
    <dxf>
      <font>
        <color rgb="FF3F5F72"/>
      </font>
      <fill>
        <patternFill>
          <bgColor rgb="FF3F5F72"/>
        </patternFill>
      </fill>
    </dxf>
    <dxf>
      <font>
        <color rgb="FF9FBACD"/>
      </font>
      <fill>
        <patternFill>
          <bgColor rgb="FF9FBACD"/>
        </patternFill>
      </fill>
    </dxf>
    <dxf>
      <font>
        <color rgb="FFD47566"/>
      </font>
      <fill>
        <patternFill>
          <bgColor rgb="FFD47566"/>
        </patternFill>
      </fill>
    </dxf>
    <dxf>
      <font>
        <color rgb="FFA6BE95"/>
      </font>
      <fill>
        <patternFill>
          <bgColor rgb="FFA6BE95"/>
        </patternFill>
      </fill>
    </dxf>
    <dxf>
      <font>
        <color rgb="FF3F5F72"/>
      </font>
      <fill>
        <patternFill>
          <bgColor rgb="FF3F5F72"/>
        </patternFill>
      </fill>
    </dxf>
    <dxf>
      <font>
        <color rgb="FFE5BB12"/>
      </font>
      <fill>
        <patternFill>
          <bgColor rgb="FFE5BB12"/>
        </patternFill>
      </fill>
    </dxf>
    <dxf>
      <font>
        <color rgb="FF3F5F72"/>
      </font>
      <fill>
        <patternFill>
          <bgColor rgb="FF3F5F72"/>
        </patternFill>
      </fill>
    </dxf>
    <dxf>
      <font>
        <color rgb="FFA6BE95"/>
      </font>
      <fill>
        <patternFill>
          <bgColor rgb="FFA6BE95"/>
        </patternFill>
      </fill>
    </dxf>
    <dxf>
      <font>
        <color rgb="FFE5BB12"/>
      </font>
      <fill>
        <patternFill>
          <bgColor rgb="FFE5BB12"/>
        </patternFill>
      </fill>
    </dxf>
    <dxf>
      <font>
        <color rgb="FFD47566"/>
      </font>
      <fill>
        <patternFill>
          <bgColor rgb="FFD47566"/>
        </patternFill>
      </fill>
    </dxf>
    <dxf>
      <font>
        <color rgb="FF9FBACD"/>
      </font>
      <fill>
        <patternFill>
          <bgColor rgb="FF9FBACD"/>
        </patternFill>
      </fill>
    </dxf>
    <dxf>
      <font>
        <color rgb="FFD47566"/>
      </font>
      <fill>
        <patternFill>
          <bgColor rgb="FFD47566"/>
        </patternFill>
      </fill>
    </dxf>
    <dxf>
      <font>
        <color rgb="FF3F5F72"/>
      </font>
      <fill>
        <patternFill>
          <bgColor rgb="FF3F5F72"/>
        </patternFill>
      </fill>
    </dxf>
    <dxf>
      <font>
        <color rgb="FFA6BE95"/>
      </font>
      <fill>
        <patternFill>
          <bgColor rgb="FFA6BE95"/>
        </patternFill>
      </fill>
    </dxf>
    <dxf>
      <font>
        <color rgb="FF9FBACD"/>
      </font>
      <fill>
        <patternFill>
          <bgColor rgb="FF9FBACD"/>
        </patternFill>
      </fill>
    </dxf>
    <dxf>
      <font>
        <color rgb="FFE5BB12"/>
      </font>
      <fill>
        <patternFill>
          <bgColor rgb="FFE5BB12"/>
        </patternFill>
      </fill>
    </dxf>
    <dxf>
      <font>
        <color rgb="FFA6BE95"/>
      </font>
      <fill>
        <patternFill>
          <bgColor rgb="FFA6BE95"/>
        </patternFill>
      </fill>
    </dxf>
    <dxf>
      <font>
        <color rgb="FFD47566"/>
      </font>
      <fill>
        <patternFill>
          <bgColor rgb="FFD47566"/>
        </patternFill>
      </fill>
    </dxf>
    <dxf>
      <font>
        <color rgb="FF9FBACD"/>
      </font>
      <fill>
        <patternFill>
          <bgColor rgb="FF9FBACD"/>
        </patternFill>
      </fill>
    </dxf>
    <dxf>
      <font>
        <color rgb="FF3F5F72"/>
      </font>
      <fill>
        <patternFill>
          <bgColor rgb="FF3F5F72"/>
        </patternFill>
      </fill>
    </dxf>
    <dxf>
      <font>
        <color rgb="FFE5BB12"/>
      </font>
      <fill>
        <patternFill>
          <bgColor rgb="FFE5BB1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auto="1"/>
        </left>
        <right style="thin">
          <color auto="1"/>
        </right>
        <top style="hair">
          <color auto="1"/>
        </top>
        <bottom style="hair">
          <color auto="1"/>
        </bottom>
      </border>
    </dxf>
    <dxf>
      <fill>
        <patternFill>
          <bgColor theme="9" tint="0.79998168889431442"/>
        </patternFill>
      </fill>
    </dxf>
    <dxf>
      <fill>
        <patternFill>
          <bgColor theme="9" tint="0.79998168889431442"/>
        </patternFill>
      </fill>
    </dxf>
    <dxf>
      <fill>
        <patternFill>
          <bgColor theme="9" tint="0.79998168889431442"/>
        </patternFill>
      </fill>
    </dxf>
    <dxf>
      <font>
        <b/>
        <i val="0"/>
      </font>
      <fill>
        <patternFill>
          <bgColor rgb="FFD9D9D9"/>
        </patternFill>
      </fill>
      <border>
        <left style="thin">
          <color auto="1"/>
        </left>
        <right style="thin">
          <color auto="1"/>
        </right>
      </border>
    </dxf>
    <dxf>
      <fill>
        <patternFill>
          <bgColor theme="9" tint="0.79998168889431442"/>
        </patternFill>
      </fill>
    </dxf>
    <dxf>
      <border>
        <left style="thin">
          <color auto="1"/>
        </left>
        <right style="thin">
          <color auto="1"/>
        </right>
        <top style="hair">
          <color auto="1"/>
        </top>
        <bottom style="hair">
          <color auto="1"/>
        </bottom>
      </border>
    </dxf>
    <dxf>
      <border>
        <left style="thin">
          <color auto="1"/>
        </left>
        <right style="thin">
          <color auto="1"/>
        </right>
        <top style="hair">
          <color auto="1"/>
        </top>
        <bottom style="hair">
          <color auto="1"/>
        </bottom>
      </border>
    </dxf>
    <dxf>
      <fill>
        <patternFill>
          <bgColor theme="9" tint="0.79998168889431442"/>
        </patternFill>
      </fill>
    </dxf>
    <dxf>
      <font>
        <b/>
        <i val="0"/>
      </font>
      <fill>
        <patternFill>
          <bgColor rgb="FFD9D9D9"/>
        </patternFill>
      </fill>
      <border>
        <left style="thin">
          <color auto="1"/>
        </left>
        <right style="thin">
          <color auto="1"/>
        </right>
      </border>
    </dxf>
    <dxf>
      <border>
        <left style="thin">
          <color auto="1"/>
        </left>
        <right style="thin">
          <color auto="1"/>
        </right>
        <top style="hair">
          <color auto="1"/>
        </top>
        <bottom style="hair">
          <color auto="1"/>
        </bottom>
      </border>
    </dxf>
    <dxf>
      <font>
        <b/>
        <i val="0"/>
      </font>
      <fill>
        <patternFill>
          <bgColor rgb="FFD9D9D9"/>
        </patternFill>
      </fill>
      <border>
        <left style="thin">
          <color auto="1"/>
        </left>
        <right style="thin">
          <color auto="1"/>
        </right>
      </border>
    </dxf>
    <dxf>
      <fill>
        <patternFill>
          <bgColor theme="9" tint="0.79998168889431442"/>
        </patternFill>
      </fill>
    </dxf>
    <dxf>
      <border>
        <left style="thin">
          <color auto="1"/>
        </left>
        <right style="thin">
          <color auto="1"/>
        </right>
        <top style="hair">
          <color auto="1"/>
        </top>
        <bottom style="hair">
          <color auto="1"/>
        </bottom>
      </border>
    </dxf>
    <dxf>
      <border>
        <left style="thin">
          <color auto="1"/>
        </left>
        <right style="thin">
          <color auto="1"/>
        </right>
        <top style="hair">
          <color auto="1"/>
        </top>
        <bottom style="hair">
          <color auto="1"/>
        </bottom>
      </border>
    </dxf>
    <dxf>
      <border>
        <left style="thin">
          <color auto="1"/>
        </left>
        <right style="thin">
          <color auto="1"/>
        </right>
        <top style="hair">
          <color auto="1"/>
        </top>
        <bottom style="hair">
          <color auto="1"/>
        </bottom>
      </border>
    </dxf>
    <dxf>
      <font>
        <b/>
        <i val="0"/>
      </font>
      <fill>
        <patternFill>
          <bgColor rgb="FFD9D9D9"/>
        </patternFill>
      </fill>
      <border>
        <left style="thin">
          <color auto="1"/>
        </left>
        <right style="thin">
          <color auto="1"/>
        </right>
      </border>
    </dxf>
    <dxf>
      <font>
        <b/>
        <i val="0"/>
      </font>
      <fill>
        <patternFill>
          <bgColor rgb="FFD9D9D9"/>
        </patternFill>
      </fill>
      <border>
        <left style="thin">
          <color auto="1"/>
        </left>
        <right style="thin">
          <color auto="1"/>
        </right>
      </border>
    </dxf>
    <dxf>
      <border>
        <left style="thin">
          <color auto="1"/>
        </left>
        <right style="thin">
          <color auto="1"/>
        </right>
        <top style="hair">
          <color auto="1"/>
        </top>
        <bottom style="hair">
          <color auto="1"/>
        </bottom>
      </border>
    </dxf>
    <dxf>
      <font>
        <b val="0"/>
        <i/>
      </font>
    </dxf>
    <dxf>
      <fill>
        <patternFill>
          <bgColor theme="9" tint="0.79998168889431442"/>
        </patternFill>
      </fill>
    </dxf>
    <dxf>
      <font>
        <b/>
        <i val="0"/>
      </font>
      <fill>
        <patternFill>
          <bgColor rgb="FFD9D9D9"/>
        </patternFill>
      </fill>
      <border>
        <left style="thin">
          <color auto="1"/>
        </left>
        <right style="thin">
          <color auto="1"/>
        </right>
      </border>
    </dxf>
    <dxf>
      <border>
        <left style="thin">
          <color auto="1"/>
        </left>
        <right style="thin">
          <color auto="1"/>
        </right>
        <top style="hair">
          <color auto="1"/>
        </top>
        <bottom style="hair">
          <color auto="1"/>
        </bottom>
      </border>
    </dxf>
    <dxf>
      <font>
        <b val="0"/>
        <i/>
      </font>
    </dxf>
    <dxf>
      <font>
        <b/>
        <i val="0"/>
      </font>
      <fill>
        <patternFill>
          <bgColor rgb="FFD9D9D9"/>
        </patternFill>
      </fill>
      <border>
        <left style="thin">
          <color auto="1"/>
        </left>
        <right style="thin">
          <color auto="1"/>
        </right>
      </border>
    </dxf>
    <dxf>
      <fill>
        <patternFill>
          <bgColor theme="9" tint="0.79998168889431442"/>
        </patternFill>
      </fill>
    </dxf>
    <dxf>
      <font>
        <b val="0"/>
        <i/>
      </font>
    </dxf>
    <dxf>
      <font>
        <b val="0"/>
        <i/>
      </font>
    </dxf>
    <dxf>
      <fill>
        <patternFill>
          <bgColor theme="9" tint="0.79998168889431442"/>
        </patternFill>
      </fill>
    </dxf>
    <dxf>
      <font>
        <b/>
        <i val="0"/>
      </font>
      <fill>
        <patternFill>
          <bgColor rgb="FFD9D9D9"/>
        </patternFill>
      </fill>
      <border>
        <left style="thin">
          <color auto="1"/>
        </left>
        <right style="thin">
          <color auto="1"/>
        </right>
      </border>
    </dxf>
    <dxf>
      <border>
        <left style="thin">
          <color auto="1"/>
        </left>
        <right style="thin">
          <color auto="1"/>
        </right>
        <top style="hair">
          <color auto="1"/>
        </top>
        <bottom style="hair">
          <color auto="1"/>
        </bottom>
      </border>
    </dxf>
    <dxf>
      <fill>
        <patternFill>
          <bgColor theme="9" tint="0.79998168889431442"/>
        </patternFill>
      </fill>
    </dxf>
    <dxf>
      <border>
        <left style="thin">
          <color auto="1"/>
        </left>
        <right style="thin">
          <color auto="1"/>
        </right>
        <top style="hair">
          <color auto="1"/>
        </top>
        <bottom style="hair">
          <color auto="1"/>
        </bottom>
      </border>
    </dxf>
    <dxf>
      <font>
        <b/>
        <i val="0"/>
      </font>
      <fill>
        <patternFill>
          <bgColor rgb="FFD9D9D9"/>
        </patternFill>
      </fill>
      <border>
        <left style="thin">
          <color auto="1"/>
        </left>
        <right style="thin">
          <color auto="1"/>
        </right>
      </border>
    </dxf>
    <dxf>
      <font>
        <b val="0"/>
        <i/>
      </font>
    </dxf>
    <dxf>
      <fill>
        <patternFill>
          <bgColor theme="9" tint="0.79998168889431442"/>
        </patternFill>
      </fill>
    </dxf>
    <dxf>
      <border>
        <left style="thin">
          <color auto="1"/>
        </left>
        <right style="thin">
          <color auto="1"/>
        </right>
        <top style="hair">
          <color auto="1"/>
        </top>
        <bottom style="hair">
          <color auto="1"/>
        </bottom>
      </border>
    </dxf>
    <dxf>
      <fill>
        <patternFill>
          <bgColor theme="9" tint="0.79998168889431442"/>
        </patternFill>
      </fill>
    </dxf>
    <dxf>
      <font>
        <b/>
        <i val="0"/>
      </font>
      <fill>
        <patternFill>
          <bgColor rgb="FFD9D9D9"/>
        </patternFill>
      </fill>
      <border>
        <left style="thin">
          <color auto="1"/>
        </left>
        <right style="thin">
          <color auto="1"/>
        </right>
      </border>
    </dxf>
    <dxf>
      <font>
        <b val="0"/>
        <i/>
      </font>
    </dxf>
    <dxf>
      <fill>
        <patternFill>
          <bgColor theme="9" tint="0.79998168889431442"/>
        </patternFill>
      </fill>
    </dxf>
    <dxf>
      <font>
        <b/>
        <i val="0"/>
      </font>
      <fill>
        <patternFill>
          <bgColor rgb="FFD9D9D9"/>
        </patternFill>
      </fill>
      <border>
        <left style="thin">
          <color auto="1"/>
        </left>
        <right style="thin">
          <color auto="1"/>
        </right>
      </border>
    </dxf>
    <dxf>
      <font>
        <b val="0"/>
        <i/>
      </font>
    </dxf>
    <dxf>
      <font>
        <b/>
        <i val="0"/>
      </font>
      <fill>
        <patternFill>
          <bgColor rgb="FFD9D9D9"/>
        </patternFill>
      </fill>
      <border>
        <left style="thin">
          <color auto="1"/>
        </left>
        <right style="thin">
          <color auto="1"/>
        </right>
      </border>
    </dxf>
    <dxf>
      <fill>
        <patternFill>
          <bgColor theme="9" tint="0.79998168889431442"/>
        </patternFill>
      </fill>
    </dxf>
    <dxf>
      <font>
        <b/>
        <i val="0"/>
      </font>
      <fill>
        <patternFill>
          <bgColor rgb="FFD9D9D9"/>
        </patternFill>
      </fill>
      <border>
        <left style="thin">
          <color auto="1"/>
        </left>
        <right style="thin">
          <color auto="1"/>
        </right>
      </border>
    </dxf>
    <dxf>
      <border>
        <left style="thin">
          <color auto="1"/>
        </left>
        <right style="thin">
          <color auto="1"/>
        </right>
        <top style="hair">
          <color auto="1"/>
        </top>
        <bottom style="hair">
          <color auto="1"/>
        </bottom>
      </border>
    </dxf>
    <dxf>
      <font>
        <b val="0"/>
        <i/>
      </font>
    </dxf>
    <dxf>
      <border>
        <left style="thin">
          <color auto="1"/>
        </left>
        <right style="thin">
          <color auto="1"/>
        </right>
        <top style="hair">
          <color auto="1"/>
        </top>
        <bottom style="hair">
          <color auto="1"/>
        </bottom>
      </border>
    </dxf>
    <dxf>
      <fill>
        <patternFill>
          <bgColor theme="9" tint="0.79998168889431442"/>
        </patternFill>
      </fill>
    </dxf>
    <dxf>
      <font>
        <b/>
        <i val="0"/>
      </font>
      <fill>
        <patternFill>
          <bgColor rgb="FFD9D9D9"/>
        </patternFill>
      </fill>
      <border>
        <left style="thin">
          <color auto="1"/>
        </left>
        <right style="thin">
          <color auto="1"/>
        </right>
      </border>
    </dxf>
    <dxf>
      <font>
        <b val="0"/>
        <i/>
      </font>
    </dxf>
    <dxf>
      <font>
        <b/>
        <i val="0"/>
      </font>
      <fill>
        <patternFill>
          <bgColor rgb="FFD9D9D9"/>
        </patternFill>
      </fill>
      <border>
        <left style="thin">
          <color auto="1"/>
        </left>
        <right style="thin">
          <color auto="1"/>
        </right>
      </border>
    </dxf>
    <dxf>
      <fill>
        <patternFill>
          <bgColor theme="9" tint="0.79998168889431442"/>
        </patternFill>
      </fill>
    </dxf>
    <dxf>
      <fill>
        <patternFill>
          <bgColor theme="9" tint="0.79998168889431442"/>
        </patternFill>
      </fill>
    </dxf>
    <dxf>
      <font>
        <b val="0"/>
        <i/>
      </font>
    </dxf>
    <dxf>
      <font>
        <b val="0"/>
        <i/>
      </font>
    </dxf>
    <dxf>
      <font>
        <b/>
        <i val="0"/>
      </font>
      <fill>
        <patternFill>
          <bgColor rgb="FFD9D9D9"/>
        </patternFill>
      </fill>
      <border>
        <left style="thin">
          <color auto="1"/>
        </left>
        <right style="thin">
          <color auto="1"/>
        </right>
      </border>
    </dxf>
    <dxf>
      <font>
        <b val="0"/>
        <i/>
      </font>
    </dxf>
    <dxf>
      <font>
        <b/>
        <i val="0"/>
      </font>
      <fill>
        <patternFill>
          <bgColor rgb="FFD9D9D9"/>
        </patternFill>
      </fill>
      <border>
        <left style="thin">
          <color auto="1"/>
        </left>
        <right style="thin">
          <color auto="1"/>
        </right>
      </border>
    </dxf>
    <dxf>
      <fill>
        <patternFill>
          <bgColor theme="9" tint="0.79998168889431442"/>
        </patternFill>
      </fill>
    </dxf>
    <dxf>
      <font>
        <b/>
        <i val="0"/>
      </font>
      <fill>
        <patternFill>
          <bgColor rgb="FFD9D9D9"/>
        </patternFill>
      </fill>
      <border>
        <left style="thin">
          <color auto="1"/>
        </left>
        <right style="thin">
          <color auto="1"/>
        </right>
      </border>
    </dxf>
    <dxf>
      <font>
        <b val="0"/>
        <i/>
      </font>
    </dxf>
    <dxf>
      <border>
        <left style="thin">
          <color auto="1"/>
        </left>
        <right style="thin">
          <color auto="1"/>
        </right>
        <top style="hair">
          <color auto="1"/>
        </top>
        <bottom style="hair">
          <color auto="1"/>
        </bottom>
      </border>
    </dxf>
    <dxf>
      <font>
        <b val="0"/>
        <i/>
      </font>
    </dxf>
    <dxf>
      <fill>
        <patternFill>
          <bgColor theme="9" tint="0.79998168889431442"/>
        </patternFill>
      </fill>
    </dxf>
    <dxf>
      <fill>
        <patternFill>
          <bgColor theme="9" tint="0.79998168889431442"/>
        </patternFill>
      </fill>
    </dxf>
    <dxf>
      <font>
        <b/>
        <i val="0"/>
      </font>
      <fill>
        <patternFill>
          <bgColor rgb="FFD9D9D9"/>
        </patternFill>
      </fill>
      <border>
        <left style="thin">
          <color auto="1"/>
        </left>
        <right style="thin">
          <color auto="1"/>
        </right>
      </border>
    </dxf>
    <dxf>
      <fill>
        <patternFill>
          <bgColor theme="9" tint="0.79998168889431442"/>
        </patternFill>
      </fill>
    </dxf>
    <dxf>
      <font>
        <b/>
        <i val="0"/>
      </font>
      <fill>
        <patternFill>
          <bgColor rgb="FFD9D9D9"/>
        </patternFill>
      </fill>
      <border>
        <left style="thin">
          <color auto="1"/>
        </left>
        <right style="thin">
          <color auto="1"/>
        </right>
      </border>
    </dxf>
    <dxf>
      <border>
        <left style="thin">
          <color auto="1"/>
        </left>
        <right style="thin">
          <color auto="1"/>
        </right>
        <top style="hair">
          <color auto="1"/>
        </top>
        <bottom style="hair">
          <color auto="1"/>
        </bottom>
      </border>
    </dxf>
    <dxf>
      <font>
        <b val="0"/>
        <i/>
      </font>
    </dxf>
    <dxf>
      <font>
        <b val="0"/>
        <i/>
      </font>
    </dxf>
    <dxf>
      <fill>
        <patternFill>
          <bgColor theme="9" tint="0.79998168889431442"/>
        </patternFill>
      </fill>
    </dxf>
    <dxf>
      <fill>
        <patternFill>
          <bgColor theme="9" tint="0.79998168889431442"/>
        </patternFill>
      </fill>
    </dxf>
    <dxf>
      <border>
        <left style="thin">
          <color auto="1"/>
        </left>
        <right style="thin">
          <color auto="1"/>
        </right>
        <top style="hair">
          <color auto="1"/>
        </top>
        <bottom style="hair">
          <color auto="1"/>
        </bottom>
      </border>
    </dxf>
    <dxf>
      <font>
        <b val="0"/>
        <i/>
      </font>
    </dxf>
    <dxf>
      <font>
        <b/>
        <i val="0"/>
      </font>
      <fill>
        <patternFill>
          <bgColor rgb="FFD9D9D9"/>
        </patternFill>
      </fill>
      <border>
        <left style="thin">
          <color auto="1"/>
        </left>
        <right style="thin">
          <color auto="1"/>
        </right>
      </border>
    </dxf>
    <dxf>
      <font>
        <b/>
        <i val="0"/>
      </font>
      <fill>
        <patternFill>
          <bgColor rgb="FFD9D9D9"/>
        </patternFill>
      </fill>
      <border>
        <left style="thin">
          <color auto="1"/>
        </left>
        <right style="thin">
          <color auto="1"/>
        </right>
      </border>
    </dxf>
    <dxf>
      <font>
        <b val="0"/>
        <i/>
      </font>
    </dxf>
    <dxf>
      <font>
        <b/>
        <i val="0"/>
      </font>
      <fill>
        <patternFill>
          <bgColor rgb="FFD9D9D9"/>
        </patternFill>
      </fill>
      <border>
        <left style="thin">
          <color auto="1"/>
        </left>
        <right style="thin">
          <color auto="1"/>
        </right>
      </border>
    </dxf>
    <dxf>
      <fill>
        <patternFill>
          <bgColor theme="9" tint="0.79998168889431442"/>
        </patternFill>
      </fill>
    </dxf>
    <dxf>
      <font>
        <b/>
        <i val="0"/>
      </font>
      <fill>
        <patternFill>
          <bgColor rgb="FFD9D9D9"/>
        </patternFill>
      </fill>
      <border>
        <left style="thin">
          <color auto="1"/>
        </left>
        <right style="thin">
          <color auto="1"/>
        </right>
      </border>
    </dxf>
    <dxf>
      <font>
        <b val="0"/>
        <i/>
      </font>
    </dxf>
    <dxf>
      <fill>
        <patternFill>
          <bgColor theme="9" tint="0.79998168889431442"/>
        </patternFill>
      </fill>
    </dxf>
    <dxf>
      <font>
        <b val="0"/>
        <i/>
      </font>
    </dxf>
    <dxf>
      <border>
        <left style="thin">
          <color auto="1"/>
        </left>
        <right style="thin">
          <color auto="1"/>
        </right>
        <top style="hair">
          <color auto="1"/>
        </top>
        <bottom style="hair">
          <color auto="1"/>
        </bottom>
      </border>
    </dxf>
    <dxf>
      <font>
        <b val="0"/>
        <i/>
      </font>
    </dxf>
    <dxf>
      <border>
        <left style="thin">
          <color auto="1"/>
        </left>
        <right style="thin">
          <color auto="1"/>
        </right>
        <top style="hair">
          <color auto="1"/>
        </top>
        <bottom style="hair">
          <color auto="1"/>
        </bottom>
      </border>
    </dxf>
    <dxf>
      <font>
        <b val="0"/>
        <i/>
      </font>
    </dxf>
    <dxf>
      <fill>
        <patternFill>
          <bgColor theme="9" tint="0.79998168889431442"/>
        </patternFill>
      </fill>
    </dxf>
    <dxf>
      <font>
        <b/>
        <i val="0"/>
      </font>
      <fill>
        <patternFill>
          <bgColor rgb="FFD9D9D9"/>
        </patternFill>
      </fill>
      <border>
        <left style="thin">
          <color auto="1"/>
        </left>
        <right style="thin">
          <color auto="1"/>
        </right>
      </border>
    </dxf>
    <dxf>
      <font>
        <b/>
        <i val="0"/>
      </font>
      <fill>
        <patternFill>
          <bgColor rgb="FFD9D9D9"/>
        </patternFill>
      </fill>
      <border>
        <left style="thin">
          <color auto="1"/>
        </left>
        <right style="thin">
          <color auto="1"/>
        </right>
      </border>
    </dxf>
    <dxf>
      <fill>
        <patternFill>
          <bgColor theme="9" tint="0.79998168889431442"/>
        </patternFill>
      </fill>
    </dxf>
    <dxf>
      <font>
        <b val="0"/>
        <i/>
      </font>
    </dxf>
    <dxf>
      <font>
        <b/>
        <i val="0"/>
      </font>
      <fill>
        <patternFill>
          <bgColor rgb="FFD9D9D9"/>
        </patternFill>
      </fill>
      <border>
        <left style="thin">
          <color auto="1"/>
        </left>
        <right style="thin">
          <color auto="1"/>
        </right>
      </border>
    </dxf>
    <dxf>
      <border>
        <left style="thin">
          <color auto="1"/>
        </left>
        <right style="thin">
          <color auto="1"/>
        </right>
        <top style="hair">
          <color auto="1"/>
        </top>
        <bottom style="hair">
          <color auto="1"/>
        </bottom>
      </border>
    </dxf>
    <dxf>
      <fill>
        <patternFill>
          <bgColor theme="9" tint="0.79998168889431442"/>
        </patternFill>
      </fill>
    </dxf>
    <dxf>
      <font>
        <b/>
        <i val="0"/>
      </font>
      <fill>
        <patternFill>
          <bgColor rgb="FFD9D9D9"/>
        </patternFill>
      </fill>
      <border>
        <left style="thin">
          <color auto="1"/>
        </left>
        <right style="thin">
          <color auto="1"/>
        </right>
      </border>
    </dxf>
    <dxf>
      <fill>
        <patternFill>
          <bgColor theme="9" tint="0.79998168889431442"/>
        </patternFill>
      </fill>
    </dxf>
    <dxf>
      <font>
        <b val="0"/>
        <i/>
      </font>
    </dxf>
    <dxf>
      <font>
        <b val="0"/>
        <i/>
      </font>
    </dxf>
    <dxf>
      <font>
        <b/>
        <i val="0"/>
      </font>
      <fill>
        <patternFill>
          <bgColor rgb="FFD9D9D9"/>
        </patternFill>
      </fill>
      <border>
        <left style="thin">
          <color auto="1"/>
        </left>
        <right style="thin">
          <color auto="1"/>
        </right>
      </border>
    </dxf>
    <dxf>
      <fill>
        <patternFill>
          <bgColor theme="9" tint="0.79998168889431442"/>
        </patternFill>
      </fill>
    </dxf>
    <dxf>
      <border>
        <left style="thin">
          <color auto="1"/>
        </left>
        <right style="thin">
          <color auto="1"/>
        </right>
        <top style="hair">
          <color auto="1"/>
        </top>
        <bottom style="hair">
          <color auto="1"/>
        </bottom>
      </border>
    </dxf>
    <dxf>
      <font>
        <b/>
        <i val="0"/>
      </font>
      <fill>
        <patternFill>
          <bgColor rgb="FFD9D9D9"/>
        </patternFill>
      </fill>
      <border>
        <left style="thin">
          <color auto="1"/>
        </left>
        <right style="thin">
          <color auto="1"/>
        </right>
      </border>
    </dxf>
    <dxf>
      <fill>
        <patternFill>
          <bgColor theme="9" tint="0.79998168889431442"/>
        </patternFill>
      </fill>
    </dxf>
    <dxf>
      <font>
        <b val="0"/>
        <i/>
      </font>
    </dxf>
    <dxf>
      <fill>
        <patternFill>
          <bgColor theme="9" tint="0.79998168889431442"/>
        </patternFill>
      </fill>
    </dxf>
    <dxf>
      <font>
        <b/>
        <i val="0"/>
      </font>
      <fill>
        <patternFill>
          <bgColor rgb="FFD9D9D9"/>
        </patternFill>
      </fill>
      <border>
        <left style="thin">
          <color auto="1"/>
        </left>
        <right style="thin">
          <color auto="1"/>
        </right>
      </border>
    </dxf>
    <dxf>
      <font>
        <b val="0"/>
        <i/>
      </font>
    </dxf>
    <dxf>
      <border>
        <left style="thin">
          <color auto="1"/>
        </left>
        <right style="thin">
          <color auto="1"/>
        </right>
        <top style="hair">
          <color auto="1"/>
        </top>
        <bottom style="hair">
          <color auto="1"/>
        </bottom>
      </border>
    </dxf>
    <dxf>
      <font>
        <b/>
        <i val="0"/>
      </font>
      <fill>
        <patternFill>
          <bgColor rgb="FFD9D9D9"/>
        </patternFill>
      </fill>
      <border>
        <left style="thin">
          <color auto="1"/>
        </left>
        <right style="thin">
          <color auto="1"/>
        </right>
      </border>
    </dxf>
    <dxf>
      <fill>
        <patternFill>
          <bgColor theme="9" tint="0.79998168889431442"/>
        </patternFill>
      </fill>
    </dxf>
    <dxf>
      <border>
        <left style="thin">
          <color auto="1"/>
        </left>
        <right style="thin">
          <color auto="1"/>
        </right>
        <top style="hair">
          <color auto="1"/>
        </top>
        <bottom style="hair">
          <color auto="1"/>
        </bottom>
      </border>
    </dxf>
    <dxf>
      <font>
        <b/>
        <i val="0"/>
      </font>
      <fill>
        <patternFill>
          <bgColor rgb="FFD9D9D9"/>
        </patternFill>
      </fill>
      <border>
        <left style="thin">
          <color auto="1"/>
        </left>
        <right style="thin">
          <color auto="1"/>
        </right>
      </border>
    </dxf>
    <dxf>
      <fill>
        <patternFill>
          <bgColor theme="9" tint="0.79998168889431442"/>
        </patternFill>
      </fill>
    </dxf>
    <dxf>
      <font>
        <b/>
        <i val="0"/>
      </font>
      <fill>
        <patternFill>
          <bgColor rgb="FFD9D9D9"/>
        </patternFill>
      </fill>
      <border>
        <left style="thin">
          <color auto="1"/>
        </left>
        <right style="thin">
          <color auto="1"/>
        </right>
      </border>
    </dxf>
    <dxf>
      <fill>
        <patternFill>
          <bgColor theme="9" tint="0.79998168889431442"/>
        </patternFill>
      </fill>
    </dxf>
    <dxf>
      <font>
        <b/>
        <i val="0"/>
      </font>
      <fill>
        <patternFill>
          <bgColor rgb="FFD9D9D9"/>
        </patternFill>
      </fill>
      <border>
        <left style="thin">
          <color auto="1"/>
        </left>
        <right style="thin">
          <color auto="1"/>
        </right>
      </border>
    </dxf>
    <dxf>
      <border>
        <left style="thin">
          <color auto="1"/>
        </left>
        <right style="thin">
          <color auto="1"/>
        </right>
        <top style="hair">
          <color auto="1"/>
        </top>
        <bottom style="hair">
          <color auto="1"/>
        </bottom>
      </border>
    </dxf>
    <dxf>
      <font>
        <b/>
        <i val="0"/>
      </font>
      <fill>
        <patternFill>
          <bgColor rgb="FFD9D9D9"/>
        </patternFill>
      </fill>
      <border>
        <left style="thin">
          <color auto="1"/>
        </left>
        <right style="thin">
          <color auto="1"/>
        </right>
      </border>
    </dxf>
    <dxf>
      <font>
        <b val="0"/>
        <i/>
      </font>
    </dxf>
    <dxf>
      <border>
        <left style="thin">
          <color auto="1"/>
        </left>
        <right style="thin">
          <color auto="1"/>
        </right>
        <top style="hair">
          <color auto="1"/>
        </top>
        <bottom style="hair">
          <color auto="1"/>
        </bottom>
      </border>
    </dxf>
    <dxf>
      <font>
        <b/>
        <i val="0"/>
      </font>
      <fill>
        <patternFill>
          <bgColor rgb="FFD9D9D9"/>
        </patternFill>
      </fill>
      <border>
        <left style="thin">
          <color auto="1"/>
        </left>
        <right style="thin">
          <color auto="1"/>
        </right>
      </border>
    </dxf>
    <dxf>
      <fill>
        <patternFill>
          <bgColor theme="9" tint="0.79998168889431442"/>
        </patternFill>
      </fill>
    </dxf>
    <dxf>
      <font>
        <b/>
        <i val="0"/>
      </font>
      <fill>
        <patternFill>
          <bgColor rgb="FFD9D9D9"/>
        </patternFill>
      </fill>
      <border>
        <left style="thin">
          <color auto="1"/>
        </left>
        <right style="thin">
          <color auto="1"/>
        </right>
      </border>
    </dxf>
    <dxf>
      <fill>
        <patternFill>
          <bgColor theme="9" tint="0.79998168889431442"/>
        </patternFill>
      </fill>
    </dxf>
    <dxf>
      <border>
        <left style="thin">
          <color auto="1"/>
        </left>
        <right style="thin">
          <color auto="1"/>
        </right>
        <top style="hair">
          <color auto="1"/>
        </top>
        <bottom style="hair">
          <color auto="1"/>
        </bottom>
      </border>
    </dxf>
    <dxf>
      <font>
        <b/>
        <i val="0"/>
      </font>
      <fill>
        <patternFill>
          <bgColor rgb="FFD9D9D9"/>
        </patternFill>
      </fill>
      <border>
        <left style="thin">
          <color auto="1"/>
        </left>
        <right style="thin">
          <color auto="1"/>
        </right>
      </border>
    </dxf>
    <dxf>
      <font>
        <b val="0"/>
        <i/>
      </font>
    </dxf>
    <dxf>
      <fill>
        <patternFill>
          <bgColor theme="9" tint="0.79998168889431442"/>
        </patternFill>
      </fill>
    </dxf>
    <dxf>
      <fill>
        <patternFill>
          <bgColor theme="9" tint="0.79998168889431442"/>
        </patternFill>
      </fill>
    </dxf>
    <dxf>
      <font>
        <b val="0"/>
        <i/>
      </font>
    </dxf>
    <dxf>
      <fill>
        <patternFill>
          <bgColor theme="9" tint="0.79998168889431442"/>
        </patternFill>
      </fill>
    </dxf>
    <dxf>
      <font>
        <b/>
        <i val="0"/>
      </font>
      <fill>
        <patternFill>
          <bgColor rgb="FFD9D9D9"/>
        </patternFill>
      </fill>
      <border>
        <left style="thin">
          <color auto="1"/>
        </left>
        <right style="thin">
          <color auto="1"/>
        </right>
      </border>
    </dxf>
    <dxf>
      <fill>
        <patternFill>
          <bgColor theme="9" tint="0.79998168889431442"/>
        </patternFill>
      </fill>
    </dxf>
    <dxf>
      <font>
        <b val="0"/>
        <i/>
      </font>
    </dxf>
    <dxf>
      <font>
        <b/>
        <i val="0"/>
      </font>
      <fill>
        <patternFill>
          <bgColor rgb="FFD9D9D9"/>
        </patternFill>
      </fill>
      <border>
        <left style="thin">
          <color auto="1"/>
        </left>
        <right style="thin">
          <color auto="1"/>
        </right>
      </border>
    </dxf>
    <dxf>
      <font>
        <b/>
        <i val="0"/>
      </font>
      <fill>
        <patternFill>
          <bgColor rgb="FFD9D9D9"/>
        </patternFill>
      </fill>
      <border>
        <left style="thin">
          <color auto="1"/>
        </left>
        <right style="thin">
          <color auto="1"/>
        </right>
      </border>
    </dxf>
    <dxf>
      <font>
        <b val="0"/>
        <i/>
      </font>
    </dxf>
    <dxf>
      <fill>
        <patternFill>
          <bgColor theme="9" tint="0.79998168889431442"/>
        </patternFill>
      </fill>
    </dxf>
    <dxf>
      <font>
        <b val="0"/>
        <i/>
      </font>
    </dxf>
    <dxf>
      <font>
        <b/>
        <i val="0"/>
      </font>
      <fill>
        <patternFill>
          <bgColor rgb="FFD9D9D9"/>
        </patternFill>
      </fill>
      <border>
        <left style="thin">
          <color auto="1"/>
        </left>
        <right style="thin">
          <color auto="1"/>
        </right>
      </border>
    </dxf>
    <dxf>
      <fill>
        <patternFill>
          <bgColor theme="9" tint="0.79998168889431442"/>
        </patternFill>
      </fill>
    </dxf>
    <dxf>
      <font>
        <b val="0"/>
        <i/>
      </font>
    </dxf>
    <dxf>
      <fill>
        <patternFill>
          <bgColor theme="9" tint="0.79998168889431442"/>
        </patternFill>
      </fill>
    </dxf>
    <dxf>
      <font>
        <b val="0"/>
        <i/>
      </font>
    </dxf>
    <dxf>
      <fill>
        <patternFill>
          <bgColor theme="9" tint="0.79998168889431442"/>
        </patternFill>
      </fill>
    </dxf>
    <dxf>
      <fill>
        <patternFill>
          <bgColor theme="9" tint="0.79998168889431442"/>
        </patternFill>
      </fill>
    </dxf>
    <dxf>
      <font>
        <b val="0"/>
        <i/>
      </font>
    </dxf>
    <dxf>
      <font>
        <b/>
        <i val="0"/>
      </font>
      <fill>
        <patternFill>
          <bgColor rgb="FFD9D9D9"/>
        </patternFill>
      </fill>
      <border>
        <left style="thin">
          <color auto="1"/>
        </left>
        <right style="thin">
          <color auto="1"/>
        </right>
      </border>
    </dxf>
    <dxf>
      <fill>
        <patternFill>
          <bgColor theme="9" tint="0.79998168889431442"/>
        </patternFill>
      </fill>
    </dxf>
    <dxf>
      <fill>
        <patternFill>
          <bgColor theme="9" tint="0.79998168889431442"/>
        </patternFill>
      </fill>
    </dxf>
    <dxf>
      <fill>
        <patternFill>
          <bgColor theme="9" tint="0.79998168889431442"/>
        </patternFill>
      </fill>
    </dxf>
    <dxf>
      <font>
        <b/>
        <i val="0"/>
      </font>
      <fill>
        <patternFill>
          <bgColor rgb="FFD9D9D9"/>
        </patternFill>
      </fill>
      <border>
        <left style="thin">
          <color auto="1"/>
        </left>
        <right style="thin">
          <color auto="1"/>
        </right>
      </border>
    </dxf>
    <dxf>
      <font>
        <b val="0"/>
        <i/>
      </font>
    </dxf>
    <dxf>
      <font>
        <b val="0"/>
        <i/>
      </font>
    </dxf>
    <dxf>
      <font>
        <b/>
        <i val="0"/>
      </font>
      <fill>
        <patternFill>
          <bgColor rgb="FFD9D9D9"/>
        </patternFill>
      </fill>
      <border>
        <left style="thin">
          <color auto="1"/>
        </left>
        <right style="thin">
          <color auto="1"/>
        </right>
      </border>
    </dxf>
    <dxf>
      <fill>
        <patternFill>
          <bgColor theme="9" tint="0.79998168889431442"/>
        </patternFill>
      </fill>
    </dxf>
    <dxf>
      <fill>
        <patternFill>
          <bgColor theme="9" tint="0.79998168889431442"/>
        </patternFill>
      </fill>
    </dxf>
    <dxf>
      <font>
        <b/>
        <i val="0"/>
      </font>
      <fill>
        <patternFill>
          <bgColor rgb="FFD9D9D9"/>
        </patternFill>
      </fill>
      <border>
        <left style="thin">
          <color auto="1"/>
        </left>
        <right style="thin">
          <color auto="1"/>
        </right>
      </border>
    </dxf>
    <dxf>
      <fill>
        <patternFill>
          <bgColor theme="9" tint="0.79998168889431442"/>
        </patternFill>
      </fill>
    </dxf>
    <dxf>
      <font>
        <b val="0"/>
        <i/>
      </font>
    </dxf>
    <dxf>
      <fill>
        <patternFill>
          <bgColor theme="9" tint="0.79998168889431442"/>
        </patternFill>
      </fill>
    </dxf>
    <dxf>
      <font>
        <b/>
        <i val="0"/>
      </font>
      <fill>
        <patternFill>
          <bgColor rgb="FFD9D9D9"/>
        </patternFill>
      </fill>
      <border>
        <left style="thin">
          <color auto="1"/>
        </left>
        <right style="thin">
          <color auto="1"/>
        </right>
      </border>
    </dxf>
    <dxf>
      <font>
        <b val="0"/>
        <i/>
      </font>
    </dxf>
    <dxf>
      <font>
        <b/>
        <i val="0"/>
      </font>
      <fill>
        <patternFill>
          <bgColor rgb="FFD9D9D9"/>
        </patternFill>
      </fill>
      <border>
        <left style="thin">
          <color auto="1"/>
        </left>
        <right style="thin">
          <color auto="1"/>
        </right>
      </border>
    </dxf>
    <dxf>
      <fill>
        <patternFill>
          <bgColor theme="9" tint="0.79998168889431442"/>
        </patternFill>
      </fill>
    </dxf>
    <dxf>
      <font>
        <b val="0"/>
        <i/>
      </font>
    </dxf>
    <dxf>
      <font>
        <b/>
        <i val="0"/>
      </font>
      <fill>
        <patternFill>
          <bgColor rgb="FFD9D9D9"/>
        </patternFill>
      </fill>
      <border>
        <left style="thin">
          <color auto="1"/>
        </left>
        <right style="thin">
          <color auto="1"/>
        </right>
      </border>
    </dxf>
    <dxf>
      <fill>
        <patternFill>
          <bgColor theme="9" tint="0.79998168889431442"/>
        </patternFill>
      </fill>
    </dxf>
    <dxf>
      <font>
        <b/>
        <i val="0"/>
      </font>
      <fill>
        <patternFill>
          <bgColor rgb="FFD9D9D9"/>
        </patternFill>
      </fill>
      <border>
        <left style="thin">
          <color auto="1"/>
        </left>
        <right style="thin">
          <color auto="1"/>
        </right>
      </border>
    </dxf>
    <dxf>
      <font>
        <b val="0"/>
        <i/>
      </font>
    </dxf>
    <dxf>
      <fill>
        <patternFill>
          <bgColor theme="9" tint="0.79998168889431442"/>
        </patternFill>
      </fill>
    </dxf>
    <dxf>
      <font>
        <b val="0"/>
        <i/>
      </font>
    </dxf>
    <dxf>
      <font>
        <b/>
        <i val="0"/>
      </font>
      <fill>
        <patternFill>
          <bgColor rgb="FFD9D9D9"/>
        </patternFill>
      </fill>
      <border>
        <left style="thin">
          <color auto="1"/>
        </left>
        <right style="thin">
          <color auto="1"/>
        </right>
      </border>
    </dxf>
    <dxf>
      <font>
        <b val="0"/>
        <i/>
      </font>
    </dxf>
    <dxf>
      <font>
        <b/>
        <i val="0"/>
      </font>
      <fill>
        <patternFill>
          <bgColor rgb="FFD9D9D9"/>
        </patternFill>
      </fill>
      <border>
        <left style="thin">
          <color auto="1"/>
        </left>
        <right style="thin">
          <color auto="1"/>
        </right>
      </border>
    </dxf>
    <dxf>
      <fill>
        <patternFill>
          <bgColor theme="9" tint="0.79998168889431442"/>
        </patternFill>
      </fill>
    </dxf>
    <dxf>
      <font>
        <b val="0"/>
        <i/>
      </font>
    </dxf>
    <dxf>
      <font>
        <b/>
        <i val="0"/>
      </font>
      <fill>
        <patternFill>
          <bgColor rgb="FFD9D9D9"/>
        </patternFill>
      </fill>
      <border>
        <left style="thin">
          <color auto="1"/>
        </left>
        <right style="thin">
          <color auto="1"/>
        </right>
      </border>
    </dxf>
    <dxf>
      <border>
        <left style="thin">
          <color auto="1"/>
        </left>
        <right style="thin">
          <color auto="1"/>
        </right>
        <top style="hair">
          <color auto="1"/>
        </top>
        <bottom style="hair">
          <color auto="1"/>
        </bottom>
      </border>
    </dxf>
    <dxf>
      <fill>
        <patternFill>
          <bgColor rgb="FFDF8E78"/>
        </patternFill>
      </fill>
    </dxf>
    <dxf>
      <fill>
        <patternFill>
          <bgColor rgb="FFFCD163"/>
        </patternFill>
      </fill>
    </dxf>
    <dxf>
      <fill>
        <patternFill>
          <bgColor rgb="FFC5DEEF"/>
        </patternFill>
      </fill>
    </dxf>
    <dxf>
      <fill>
        <patternFill>
          <bgColor rgb="FFB0CBA9"/>
        </patternFill>
      </fill>
    </dxf>
    <dxf>
      <fill>
        <patternFill>
          <bgColor rgb="FFB0CBA9"/>
        </patternFill>
      </fill>
    </dxf>
    <dxf>
      <fill>
        <patternFill>
          <bgColor rgb="FFC5DEEF"/>
        </patternFill>
      </fill>
    </dxf>
    <dxf>
      <fill>
        <patternFill>
          <bgColor rgb="FFFCD163"/>
        </patternFill>
      </fill>
    </dxf>
    <dxf>
      <font>
        <b/>
        <i val="0"/>
      </font>
      <fill>
        <patternFill>
          <bgColor rgb="FFD9D9D9"/>
        </patternFill>
      </fill>
      <border>
        <left style="thin">
          <color auto="1"/>
        </left>
        <right style="thin">
          <color auto="1"/>
        </right>
      </border>
    </dxf>
    <dxf>
      <fill>
        <patternFill>
          <bgColor rgb="FFC5DEEF"/>
        </patternFill>
      </fill>
    </dxf>
    <dxf>
      <fill>
        <patternFill>
          <bgColor rgb="FFB0CBA9"/>
        </patternFill>
      </fill>
    </dxf>
    <dxf>
      <fill>
        <patternFill>
          <bgColor rgb="FFFCD163"/>
        </patternFill>
      </fill>
    </dxf>
    <dxf>
      <font>
        <b/>
        <i val="0"/>
      </font>
      <fill>
        <patternFill>
          <bgColor rgb="FFD9D9D9"/>
        </patternFill>
      </fill>
      <border>
        <left style="thin">
          <color auto="1"/>
        </left>
        <right style="thin">
          <color auto="1"/>
        </right>
      </border>
    </dxf>
    <dxf>
      <fill>
        <patternFill>
          <bgColor rgb="FFB0CBA9"/>
        </patternFill>
      </fill>
    </dxf>
    <dxf>
      <fill>
        <patternFill>
          <bgColor rgb="FFDF8E78"/>
        </patternFill>
      </fill>
    </dxf>
    <dxf>
      <font>
        <b/>
        <i val="0"/>
      </font>
      <fill>
        <patternFill>
          <bgColor rgb="FFD9D9D9"/>
        </patternFill>
      </fill>
      <border>
        <left style="thin">
          <color auto="1"/>
        </left>
        <right style="thin">
          <color auto="1"/>
        </right>
      </border>
    </dxf>
    <dxf>
      <fill>
        <patternFill>
          <bgColor rgb="FFFCD163"/>
        </patternFill>
      </fill>
    </dxf>
    <dxf>
      <fill>
        <patternFill>
          <bgColor rgb="FFC5DEEF"/>
        </patternFill>
      </fill>
    </dxf>
    <dxf>
      <fill>
        <patternFill>
          <bgColor rgb="FFB0CBA9"/>
        </patternFill>
      </fill>
    </dxf>
    <dxf>
      <fill>
        <patternFill>
          <bgColor rgb="FFC5DEEF"/>
        </patternFill>
      </fill>
    </dxf>
    <dxf>
      <fill>
        <patternFill>
          <bgColor rgb="FFFCD163"/>
        </patternFill>
      </fill>
    </dxf>
    <dxf>
      <fill>
        <patternFill>
          <bgColor rgb="FFDF8E78"/>
        </patternFill>
      </fill>
    </dxf>
    <dxf>
      <fill>
        <patternFill>
          <bgColor rgb="FFFCD163"/>
        </patternFill>
      </fill>
    </dxf>
    <dxf>
      <fill>
        <patternFill>
          <bgColor rgb="FFB0CBA9"/>
        </patternFill>
      </fill>
    </dxf>
    <dxf>
      <fill>
        <patternFill>
          <bgColor rgb="FFC5DEEF"/>
        </patternFill>
      </fill>
    </dxf>
    <dxf>
      <fill>
        <patternFill>
          <bgColor rgb="FFDF8E78"/>
        </patternFill>
      </fill>
    </dxf>
    <dxf>
      <font>
        <b/>
        <i val="0"/>
      </font>
      <fill>
        <patternFill>
          <bgColor rgb="FFD9D9D9"/>
        </patternFill>
      </fill>
      <border>
        <left style="thin">
          <color auto="1"/>
        </left>
        <right style="thin">
          <color auto="1"/>
        </right>
      </border>
    </dxf>
    <dxf>
      <fill>
        <patternFill>
          <bgColor rgb="FFC5DEEF"/>
        </patternFill>
      </fill>
    </dxf>
    <dxf>
      <fill>
        <patternFill>
          <bgColor rgb="FFDF8E78"/>
        </patternFill>
      </fill>
    </dxf>
    <dxf>
      <fill>
        <patternFill>
          <bgColor rgb="FFB0CBA9"/>
        </patternFill>
      </fill>
    </dxf>
    <dxf>
      <fill>
        <patternFill>
          <bgColor rgb="FFFCD163"/>
        </patternFill>
      </fill>
    </dxf>
    <dxf>
      <fill>
        <patternFill>
          <bgColor rgb="FFFCD163"/>
        </patternFill>
      </fill>
    </dxf>
    <dxf>
      <fill>
        <patternFill>
          <bgColor rgb="FFB0CBA9"/>
        </patternFill>
      </fill>
    </dxf>
    <dxf>
      <fill>
        <patternFill>
          <bgColor rgb="FFC5DEEF"/>
        </patternFill>
      </fill>
    </dxf>
    <dxf>
      <font>
        <b/>
        <i val="0"/>
      </font>
      <fill>
        <patternFill>
          <bgColor rgb="FFD9D9D9"/>
        </patternFill>
      </fill>
      <border>
        <left style="thin">
          <color auto="1"/>
        </left>
        <right style="thin">
          <color auto="1"/>
        </right>
      </border>
    </dxf>
    <dxf>
      <fill>
        <patternFill>
          <bgColor rgb="FFDF8E78"/>
        </patternFill>
      </fill>
    </dxf>
    <dxf>
      <fill>
        <patternFill>
          <bgColor rgb="FFC5DEEF"/>
        </patternFill>
      </fill>
    </dxf>
    <dxf>
      <fill>
        <patternFill>
          <bgColor rgb="FFFCD163"/>
        </patternFill>
      </fill>
    </dxf>
    <dxf>
      <font>
        <b/>
        <i val="0"/>
      </font>
      <fill>
        <patternFill>
          <bgColor rgb="FFD9D9D9"/>
        </patternFill>
      </fill>
      <border>
        <left style="thin">
          <color auto="1"/>
        </left>
        <right style="thin">
          <color auto="1"/>
        </right>
      </border>
    </dxf>
    <dxf>
      <fill>
        <patternFill>
          <bgColor rgb="FFB0CBA9"/>
        </patternFill>
      </fill>
    </dxf>
    <dxf>
      <fill>
        <patternFill>
          <bgColor rgb="FFDF8E78"/>
        </patternFill>
      </fill>
    </dxf>
    <dxf>
      <fill>
        <patternFill>
          <bgColor rgb="FFB0CBA9"/>
        </patternFill>
      </fill>
    </dxf>
    <dxf>
      <fill>
        <patternFill>
          <bgColor rgb="FFC5DEEF"/>
        </patternFill>
      </fill>
    </dxf>
    <dxf>
      <fill>
        <patternFill>
          <bgColor rgb="FFFCD163"/>
        </patternFill>
      </fill>
    </dxf>
    <dxf>
      <font>
        <b/>
        <i val="0"/>
      </font>
      <fill>
        <patternFill>
          <bgColor rgb="FFD9D9D9"/>
        </patternFill>
      </fill>
      <border>
        <left style="thin">
          <color auto="1"/>
        </left>
        <right style="thin">
          <color auto="1"/>
        </right>
      </border>
    </dxf>
    <dxf>
      <border>
        <left style="thin">
          <color auto="1"/>
        </left>
        <right style="thin">
          <color auto="1"/>
        </right>
        <top style="hair">
          <color auto="1"/>
        </top>
        <bottom style="hair">
          <color auto="1"/>
        </bottom>
      </border>
    </dxf>
    <dxf>
      <border>
        <left style="thin">
          <color auto="1"/>
        </left>
        <right style="thin">
          <color auto="1"/>
        </right>
        <top style="hair">
          <color auto="1"/>
        </top>
        <bottom style="hair">
          <color auto="1"/>
        </bottom>
      </border>
    </dxf>
    <dxf>
      <border>
        <left style="thin">
          <color auto="1"/>
        </left>
        <right style="thin">
          <color auto="1"/>
        </right>
        <top style="hair">
          <color auto="1"/>
        </top>
        <bottom style="hair">
          <color auto="1"/>
        </bottom>
      </border>
    </dxf>
    <dxf>
      <font>
        <strike val="0"/>
        <outline val="0"/>
        <shadow val="0"/>
        <u val="none"/>
        <vertAlign val="baseline"/>
        <sz val="8"/>
        <color theme="1"/>
        <name val="Verdana"/>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Verdan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Verdana"/>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Verdana"/>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Verdan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Verdan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Verdan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Verdana"/>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Verdana"/>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Verdana"/>
        <scheme val="none"/>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Verdana"/>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8"/>
        <color theme="1"/>
        <name val="Verdana"/>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font>
        <strike val="0"/>
        <outline val="0"/>
        <shadow val="0"/>
        <u val="none"/>
        <vertAlign val="baseline"/>
        <sz val="8"/>
        <color theme="1"/>
        <name val="Verdana"/>
        <scheme val="none"/>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8"/>
        <color theme="0"/>
        <name val="Verdana"/>
        <scheme val="none"/>
      </font>
      <fill>
        <patternFill patternType="solid">
          <fgColor indexed="64"/>
          <bgColor theme="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style="hair">
          <color theme="0" tint="-0.499984740745262"/>
        </top>
        <bottom style="hair">
          <color theme="0" tint="-0.499984740745262"/>
        </bottom>
        <vertical/>
        <horizontal/>
      </border>
    </dxf>
    <dxf>
      <font>
        <strike val="0"/>
        <outline val="0"/>
        <shadow val="0"/>
        <u val="none"/>
        <vertAlign val="baseline"/>
        <sz val="9"/>
        <name val="Verdana"/>
        <family val="2"/>
        <scheme val="none"/>
      </font>
      <alignment horizontal="center" vertical="center" textRotation="0" wrapText="1" indent="0" justifyLastLine="0" shrinkToFit="0" readingOrder="0"/>
      <border diagonalUp="0" diagonalDown="0">
        <left style="hair">
          <color theme="0" tint="-0.499984740745262"/>
        </left>
        <right style="hair">
          <color theme="0" tint="-0.499984740745262"/>
        </right>
        <top style="hair">
          <color auto="1"/>
        </top>
        <bottom style="hair">
          <color auto="1"/>
        </bottom>
        <vertical/>
        <horizontal/>
      </border>
    </dxf>
    <dxf>
      <font>
        <strike val="0"/>
        <outline val="0"/>
        <shadow val="0"/>
        <u val="none"/>
        <vertAlign val="baseline"/>
        <sz val="9"/>
        <name val="Verdana"/>
        <family val="2"/>
        <scheme val="none"/>
      </font>
      <alignment horizontal="general" vertical="center" textRotation="0" wrapText="1" indent="0" justifyLastLine="0" shrinkToFit="0" readingOrder="0"/>
      <border diagonalUp="0" diagonalDown="0">
        <left style="hair">
          <color theme="0" tint="-0.499984740745262"/>
        </left>
        <right style="hair">
          <color theme="0" tint="-0.499984740745262"/>
        </right>
        <top/>
        <bottom/>
        <vertical/>
        <horizontal/>
      </border>
    </dxf>
    <dxf>
      <font>
        <strike val="0"/>
        <outline val="0"/>
        <shadow val="0"/>
        <u val="none"/>
        <vertAlign val="baseline"/>
        <sz val="9"/>
        <name val="Verdana"/>
        <family val="2"/>
        <scheme val="none"/>
      </font>
      <alignment horizontal="center" vertical="center" textRotation="0" wrapText="1" indent="0" justifyLastLine="0" shrinkToFit="0" readingOrder="0"/>
    </dxf>
    <dxf>
      <font>
        <strike val="0"/>
        <outline val="0"/>
        <shadow val="0"/>
        <u val="none"/>
        <vertAlign val="baseline"/>
        <sz val="9"/>
        <name val="Verdana"/>
        <family val="2"/>
        <scheme val="none"/>
      </font>
      <alignment horizontal="general" vertical="center" textRotation="0" wrapText="1" indent="0" justifyLastLine="0" shrinkToFit="0" readingOrder="0"/>
    </dxf>
    <dxf>
      <font>
        <strike val="0"/>
        <outline val="0"/>
        <shadow val="0"/>
        <u val="none"/>
        <vertAlign val="baseline"/>
        <sz val="9"/>
        <name val="Verdana"/>
        <family val="2"/>
        <scheme val="none"/>
      </font>
      <alignment horizontal="center" vertical="center" textRotation="0" wrapText="1" indent="0" justifyLastLine="0" shrinkToFit="0" readingOrder="0"/>
    </dxf>
    <dxf>
      <font>
        <strike val="0"/>
        <outline val="0"/>
        <shadow val="0"/>
        <u val="none"/>
        <vertAlign val="baseline"/>
        <sz val="9"/>
        <name val="Verdana"/>
        <family val="2"/>
        <scheme val="none"/>
      </font>
      <alignment horizontal="center" vertical="center" textRotation="0" wrapText="1" indent="0" justifyLastLine="0" shrinkToFit="0" readingOrder="0"/>
    </dxf>
    <dxf>
      <font>
        <strike val="0"/>
        <outline val="0"/>
        <shadow val="0"/>
        <u val="none"/>
        <vertAlign val="baseline"/>
        <sz val="9"/>
        <name val="Verdana"/>
        <family val="2"/>
        <scheme val="none"/>
      </font>
      <alignment horizontal="general" vertical="center" textRotation="0" wrapText="1" indent="0" justifyLastLine="0" shrinkToFit="0" readingOrder="0"/>
    </dxf>
    <dxf>
      <font>
        <strike val="0"/>
        <outline val="0"/>
        <shadow val="0"/>
        <u val="none"/>
        <vertAlign val="baseline"/>
        <sz val="9"/>
        <name val="Verdana"/>
        <family val="2"/>
        <scheme val="none"/>
      </font>
      <alignment horizontal="general" vertical="center" textRotation="0" wrapText="1" indent="0" justifyLastLine="0" shrinkToFit="0" readingOrder="0"/>
    </dxf>
    <dxf>
      <font>
        <strike val="0"/>
        <outline val="0"/>
        <shadow val="0"/>
        <u val="none"/>
        <vertAlign val="baseline"/>
        <sz val="8"/>
        <name val="Verdana"/>
        <family val="2"/>
        <scheme val="none"/>
      </font>
      <alignment horizontal="general" vertical="center" textRotation="0" wrapText="1" indent="0" justifyLastLine="0" shrinkToFit="0" readingOrder="0"/>
    </dxf>
    <dxf>
      <font>
        <i val="0"/>
        <strike val="0"/>
        <outline val="0"/>
        <shadow val="0"/>
        <u val="none"/>
        <vertAlign val="baseline"/>
        <sz val="9"/>
        <name val="Verdana"/>
        <family val="2"/>
        <scheme val="none"/>
      </font>
      <alignment horizontal="general" vertical="center" textRotation="0" wrapText="1" indent="0" justifyLastLine="0" shrinkToFit="0" readingOrder="0"/>
    </dxf>
    <dxf>
      <font>
        <i val="0"/>
        <strike val="0"/>
        <outline val="0"/>
        <shadow val="0"/>
        <u val="none"/>
        <vertAlign val="baseline"/>
        <sz val="9"/>
        <color auto="1"/>
        <name val="Verdana"/>
        <family val="2"/>
        <scheme val="none"/>
      </font>
      <alignment horizontal="general" vertical="center" textRotation="0" wrapText="1" indent="0" justifyLastLine="0" shrinkToFit="0" readingOrder="0"/>
    </dxf>
    <dxf>
      <font>
        <i val="0"/>
        <strike val="0"/>
        <outline val="0"/>
        <shadow val="0"/>
        <u val="none"/>
        <vertAlign val="baseline"/>
        <sz val="9"/>
        <color auto="1"/>
        <name val="Verdana"/>
        <family val="2"/>
        <scheme val="none"/>
      </font>
      <alignment horizontal="general" vertical="center" textRotation="0" wrapText="1" indent="0" justifyLastLine="0" shrinkToFit="0" readingOrder="0"/>
    </dxf>
    <dxf>
      <font>
        <i val="0"/>
        <strike val="0"/>
        <outline val="0"/>
        <shadow val="0"/>
        <u val="none"/>
        <vertAlign val="baseline"/>
        <sz val="9"/>
        <color auto="1"/>
        <name val="Verdana"/>
        <family val="2"/>
        <scheme val="none"/>
      </font>
      <alignment horizontal="left" vertical="center" textRotation="0" wrapText="1" indent="0" justifyLastLine="0" shrinkToFit="0" readingOrder="0"/>
    </dxf>
    <dxf>
      <font>
        <i val="0"/>
        <strike val="0"/>
        <outline val="0"/>
        <shadow val="0"/>
        <u val="none"/>
        <vertAlign val="baseline"/>
        <sz val="9"/>
        <color auto="1"/>
        <name val="Verdana"/>
        <family val="2"/>
        <scheme val="none"/>
      </font>
      <alignment horizontal="left" vertical="center" textRotation="0" wrapText="1" indent="0" justifyLastLine="0" shrinkToFit="0" readingOrder="0"/>
    </dxf>
    <dxf>
      <font>
        <i val="0"/>
        <strike val="0"/>
        <outline val="0"/>
        <shadow val="0"/>
        <u val="none"/>
        <vertAlign val="baseline"/>
        <sz val="9"/>
        <name val="Verdana"/>
        <family val="2"/>
        <scheme val="none"/>
      </font>
      <alignment horizontal="center" vertical="center" textRotation="0" wrapText="1" indent="0" justifyLastLine="0" shrinkToFit="0" readingOrder="0"/>
    </dxf>
    <dxf>
      <font>
        <i val="0"/>
        <strike val="0"/>
        <outline val="0"/>
        <shadow val="0"/>
        <u val="none"/>
        <vertAlign val="baseline"/>
        <sz val="9"/>
        <color theme="0"/>
        <name val="Verdana"/>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9"/>
        <name val="Verdana"/>
        <family val="2"/>
        <scheme val="none"/>
      </font>
      <alignment horizontal="general" vertical="center" textRotation="0" wrapText="1" indent="0" justifyLastLine="0" shrinkToFit="0" readingOrder="0"/>
    </dxf>
  </dxfs>
  <tableStyles count="0" defaultTableStyle="TableStyleMedium2" defaultPivotStyle="PivotStyleLight16"/>
  <colors>
    <mruColors>
      <color rgb="FFB0CBA9"/>
      <color rgb="FFFCD163"/>
      <color rgb="FFD47566"/>
      <color rgb="FFC5DEEF"/>
      <color rgb="FFE5BB12"/>
      <color rgb="FF3F5F72"/>
      <color rgb="FFA6BE95"/>
      <color rgb="FF9FBACD"/>
      <color rgb="FFDF8E78"/>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theme" Target="theme/theme1.xml"/><Relationship Id="rId23" Type="http://schemas.openxmlformats.org/officeDocument/2006/relationships/customXml" Target="../customXml/item4.xml"/><Relationship Id="rId10" Type="http://schemas.microsoft.com/office/2007/relationships/slicerCache" Target="slicerCaches/slicerCache6.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5.xml"/><Relationship Id="rId14" Type="http://schemas.microsoft.com/office/2007/relationships/slicerCache" Target="slicerCaches/slicerCache10.xml"/><Relationship Id="rId22"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146049</xdr:colOff>
      <xdr:row>0</xdr:row>
      <xdr:rowOff>0</xdr:rowOff>
    </xdr:from>
    <xdr:to>
      <xdr:col>3</xdr:col>
      <xdr:colOff>829595</xdr:colOff>
      <xdr:row>7</xdr:row>
      <xdr:rowOff>144650</xdr:rowOff>
    </xdr:to>
    <mc:AlternateContent xmlns:mc="http://schemas.openxmlformats.org/markup-compatibility/2006" xmlns:sle15="http://schemas.microsoft.com/office/drawing/2012/slicer">
      <mc:Choice Requires="sle15">
        <xdr:graphicFrame macro="">
          <xdr:nvGraphicFramePr>
            <xdr:cNvPr id="2" name="BSC Perspectiv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BSC Perspective"/>
            </a:graphicData>
          </a:graphic>
        </xdr:graphicFrame>
      </mc:Choice>
      <mc:Fallback xmlns="">
        <xdr:sp macro="" textlink="">
          <xdr:nvSpPr>
            <xdr:cNvPr id="0" name=""/>
            <xdr:cNvSpPr>
              <a:spLocks noTextEdit="1"/>
            </xdr:cNvSpPr>
          </xdr:nvSpPr>
          <xdr:spPr>
            <a:xfrm>
              <a:off x="142874" y="0"/>
              <a:ext cx="1714501" cy="1548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826419</xdr:colOff>
      <xdr:row>0</xdr:row>
      <xdr:rowOff>0</xdr:rowOff>
    </xdr:from>
    <xdr:to>
      <xdr:col>6</xdr:col>
      <xdr:colOff>162775</xdr:colOff>
      <xdr:row>7</xdr:row>
      <xdr:rowOff>144650</xdr:rowOff>
    </xdr:to>
    <mc:AlternateContent xmlns:mc="http://schemas.openxmlformats.org/markup-compatibility/2006" xmlns:sle15="http://schemas.microsoft.com/office/drawing/2012/slicer">
      <mc:Choice Requires="sle15">
        <xdr:graphicFrame macro="">
          <xdr:nvGraphicFramePr>
            <xdr:cNvPr id="3" name="BSC Focus area">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BSC Focus area"/>
            </a:graphicData>
          </a:graphic>
        </xdr:graphicFrame>
      </mc:Choice>
      <mc:Fallback xmlns="">
        <xdr:sp macro="" textlink="">
          <xdr:nvSpPr>
            <xdr:cNvPr id="0" name=""/>
            <xdr:cNvSpPr>
              <a:spLocks noTextEdit="1"/>
            </xdr:cNvSpPr>
          </xdr:nvSpPr>
          <xdr:spPr>
            <a:xfrm>
              <a:off x="1847849" y="0"/>
              <a:ext cx="2857501" cy="1548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143725</xdr:colOff>
      <xdr:row>0</xdr:row>
      <xdr:rowOff>0</xdr:rowOff>
    </xdr:from>
    <xdr:to>
      <xdr:col>6</xdr:col>
      <xdr:colOff>1445857</xdr:colOff>
      <xdr:row>7</xdr:row>
      <xdr:rowOff>144650</xdr:rowOff>
    </xdr:to>
    <mc:AlternateContent xmlns:mc="http://schemas.openxmlformats.org/markup-compatibility/2006" xmlns:sle15="http://schemas.microsoft.com/office/drawing/2012/slicer">
      <mc:Choice Requires="sle15">
        <xdr:graphicFrame macro="">
          <xdr:nvGraphicFramePr>
            <xdr:cNvPr id="4" name="CSF Type">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SF Type"/>
            </a:graphicData>
          </a:graphic>
        </xdr:graphicFrame>
      </mc:Choice>
      <mc:Fallback xmlns="">
        <xdr:sp macro="" textlink="">
          <xdr:nvSpPr>
            <xdr:cNvPr id="0" name=""/>
            <xdr:cNvSpPr>
              <a:spLocks noTextEdit="1"/>
            </xdr:cNvSpPr>
          </xdr:nvSpPr>
          <xdr:spPr>
            <a:xfrm>
              <a:off x="4686300" y="0"/>
              <a:ext cx="1295400" cy="1548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1445856</xdr:colOff>
      <xdr:row>0</xdr:row>
      <xdr:rowOff>0</xdr:rowOff>
    </xdr:from>
    <xdr:to>
      <xdr:col>7</xdr:col>
      <xdr:colOff>2181181</xdr:colOff>
      <xdr:row>7</xdr:row>
      <xdr:rowOff>144650</xdr:rowOff>
    </xdr:to>
    <mc:AlternateContent xmlns:mc="http://schemas.openxmlformats.org/markup-compatibility/2006" xmlns:sle15="http://schemas.microsoft.com/office/drawing/2012/slicer">
      <mc:Choice Requires="sle15">
        <xdr:graphicFrame macro="">
          <xdr:nvGraphicFramePr>
            <xdr:cNvPr id="5" name="CSF Title">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CSF Title"/>
            </a:graphicData>
          </a:graphic>
        </xdr:graphicFrame>
      </mc:Choice>
      <mc:Fallback xmlns="">
        <xdr:sp macro="" textlink="">
          <xdr:nvSpPr>
            <xdr:cNvPr id="0" name=""/>
            <xdr:cNvSpPr>
              <a:spLocks noTextEdit="1"/>
            </xdr:cNvSpPr>
          </xdr:nvSpPr>
          <xdr:spPr>
            <a:xfrm>
              <a:off x="5981699" y="0"/>
              <a:ext cx="3190875" cy="1548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2200232</xdr:colOff>
      <xdr:row>0</xdr:row>
      <xdr:rowOff>0</xdr:rowOff>
    </xdr:from>
    <xdr:to>
      <xdr:col>8</xdr:col>
      <xdr:colOff>294002</xdr:colOff>
      <xdr:row>7</xdr:row>
      <xdr:rowOff>144650</xdr:rowOff>
    </xdr:to>
    <mc:AlternateContent xmlns:mc="http://schemas.openxmlformats.org/markup-compatibility/2006" xmlns:sle15="http://schemas.microsoft.com/office/drawing/2012/slicer">
      <mc:Choice Requires="sle15">
        <xdr:graphicFrame macro="">
          <xdr:nvGraphicFramePr>
            <xdr:cNvPr id="6" name="Responsibl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Responsible"/>
            </a:graphicData>
          </a:graphic>
        </xdr:graphicFrame>
      </mc:Choice>
      <mc:Fallback xmlns="">
        <xdr:sp macro="" textlink="">
          <xdr:nvSpPr>
            <xdr:cNvPr id="0" name=""/>
            <xdr:cNvSpPr>
              <a:spLocks noTextEdit="1"/>
            </xdr:cNvSpPr>
          </xdr:nvSpPr>
          <xdr:spPr>
            <a:xfrm>
              <a:off x="9191625" y="0"/>
              <a:ext cx="2428876" cy="1548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349553</xdr:colOff>
      <xdr:row>0</xdr:row>
      <xdr:rowOff>144991</xdr:rowOff>
    </xdr:from>
    <xdr:to>
      <xdr:col>11</xdr:col>
      <xdr:colOff>192467</xdr:colOff>
      <xdr:row>6</xdr:row>
      <xdr:rowOff>190499</xdr:rowOff>
    </xdr:to>
    <xdr:sp macro="" textlink="">
      <xdr:nvSpPr>
        <xdr:cNvPr id="7" name="Rectangle 6">
          <a:extLst>
            <a:ext uri="{FF2B5EF4-FFF2-40B4-BE49-F238E27FC236}">
              <a16:creationId xmlns:a16="http://schemas.microsoft.com/office/drawing/2014/main" id="{00000000-0008-0000-0000-000007000000}"/>
            </a:ext>
          </a:extLst>
        </xdr:cNvPr>
        <xdr:cNvSpPr/>
      </xdr:nvSpPr>
      <xdr:spPr>
        <a:xfrm>
          <a:off x="11657542" y="148166"/>
          <a:ext cx="2809876" cy="1248833"/>
        </a:xfrm>
        <a:prstGeom prst="rect">
          <a:avLst/>
        </a:prstGeom>
        <a:solidFill>
          <a:schemeClr val="bg1">
            <a:lumMod val="9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latin typeface="Verdana" panose="020B0604030504040204" pitchFamily="34" charset="0"/>
              <a:ea typeface="Verdana" panose="020B0604030504040204" pitchFamily="34" charset="0"/>
              <a:cs typeface="Verdana" panose="020B0604030504040204" pitchFamily="34" charset="0"/>
            </a:rPr>
            <a:t>Tips</a:t>
          </a:r>
          <a:r>
            <a:rPr lang="en-US" sz="1100" b="1"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 &amp; Tricks</a:t>
          </a:r>
          <a:r>
            <a:rPr lang="en-US" sz="1100" b="1">
              <a:solidFill>
                <a:sysClr val="windowText" lastClr="000000"/>
              </a:solidFill>
              <a:latin typeface="Verdana" panose="020B0604030504040204" pitchFamily="34" charset="0"/>
              <a:ea typeface="Verdana" panose="020B0604030504040204" pitchFamily="34" charset="0"/>
              <a:cs typeface="Verdana" panose="020B0604030504040204" pitchFamily="34" charset="0"/>
            </a:rPr>
            <a:t>:</a:t>
          </a:r>
        </a:p>
        <a:p>
          <a:pPr algn="l"/>
          <a:r>
            <a:rPr lang="en-US" sz="110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 Us</a:t>
          </a:r>
          <a:r>
            <a:rPr lang="en-US" sz="1100" b="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e -/+</a:t>
          </a:r>
          <a:r>
            <a:rPr lang="en-US" sz="1100" b="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 button to simplify view</a:t>
          </a:r>
          <a:endParaRPr lang="en-US" sz="1100" b="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a:p>
          <a:pPr algn="l"/>
          <a:r>
            <a:rPr lang="en-US" sz="110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a:t>
          </a:r>
          <a:r>
            <a:rPr lang="en-US" sz="11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 Use filter buttons to see specific actions </a:t>
          </a:r>
          <a:br>
            <a:rPr lang="en-US" sz="11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br>
          <a:r>
            <a:rPr lang="en-US" sz="11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(e.g. a specific CSF or actions you are responsible for) </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21367</xdr:colOff>
      <xdr:row>0</xdr:row>
      <xdr:rowOff>0</xdr:rowOff>
    </xdr:from>
    <xdr:to>
      <xdr:col>5</xdr:col>
      <xdr:colOff>29716</xdr:colOff>
      <xdr:row>8</xdr:row>
      <xdr:rowOff>161882</xdr:rowOff>
    </xdr:to>
    <mc:AlternateContent xmlns:mc="http://schemas.openxmlformats.org/markup-compatibility/2006" xmlns:sle15="http://schemas.microsoft.com/office/drawing/2012/slicer">
      <mc:Choice Requires="sle15">
        <xdr:graphicFrame macro="">
          <xdr:nvGraphicFramePr>
            <xdr:cNvPr id="2" name="BSC Perspective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BSC Perspective 1"/>
            </a:graphicData>
          </a:graphic>
        </xdr:graphicFrame>
      </mc:Choice>
      <mc:Fallback xmlns="">
        <xdr:sp macro="" textlink="">
          <xdr:nvSpPr>
            <xdr:cNvPr id="0" name=""/>
            <xdr:cNvSpPr>
              <a:spLocks noTextEdit="1"/>
            </xdr:cNvSpPr>
          </xdr:nvSpPr>
          <xdr:spPr>
            <a:xfrm>
              <a:off x="208132" y="0"/>
              <a:ext cx="1838643" cy="1656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32975</xdr:colOff>
      <xdr:row>0</xdr:row>
      <xdr:rowOff>0</xdr:rowOff>
    </xdr:from>
    <xdr:to>
      <xdr:col>6</xdr:col>
      <xdr:colOff>774315</xdr:colOff>
      <xdr:row>8</xdr:row>
      <xdr:rowOff>161882</xdr:rowOff>
    </xdr:to>
    <mc:AlternateContent xmlns:mc="http://schemas.openxmlformats.org/markup-compatibility/2006" xmlns:sle15="http://schemas.microsoft.com/office/drawing/2012/slicer">
      <mc:Choice Requires="sle15">
        <xdr:graphicFrame macro="">
          <xdr:nvGraphicFramePr>
            <xdr:cNvPr id="3" name="BSC Focus area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BSC Focus area 1"/>
            </a:graphicData>
          </a:graphic>
        </xdr:graphicFrame>
      </mc:Choice>
      <mc:Fallback xmlns="">
        <xdr:sp macro="" textlink="">
          <xdr:nvSpPr>
            <xdr:cNvPr id="0" name=""/>
            <xdr:cNvSpPr>
              <a:spLocks noTextEdit="1"/>
            </xdr:cNvSpPr>
          </xdr:nvSpPr>
          <xdr:spPr>
            <a:xfrm>
              <a:off x="2050034" y="0"/>
              <a:ext cx="2450237" cy="1656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769940</xdr:colOff>
      <xdr:row>0</xdr:row>
      <xdr:rowOff>0</xdr:rowOff>
    </xdr:from>
    <xdr:to>
      <xdr:col>7</xdr:col>
      <xdr:colOff>1084245</xdr:colOff>
      <xdr:row>8</xdr:row>
      <xdr:rowOff>161882</xdr:rowOff>
    </xdr:to>
    <mc:AlternateContent xmlns:mc="http://schemas.openxmlformats.org/markup-compatibility/2006" xmlns:sle15="http://schemas.microsoft.com/office/drawing/2012/slicer">
      <mc:Choice Requires="sle15">
        <xdr:graphicFrame macro="">
          <xdr:nvGraphicFramePr>
            <xdr:cNvPr id="4" name="CSF Type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CSF Type 1"/>
            </a:graphicData>
          </a:graphic>
        </xdr:graphicFrame>
      </mc:Choice>
      <mc:Fallback xmlns="">
        <xdr:sp macro="" textlink="">
          <xdr:nvSpPr>
            <xdr:cNvPr id="0" name=""/>
            <xdr:cNvSpPr>
              <a:spLocks noTextEdit="1"/>
            </xdr:cNvSpPr>
          </xdr:nvSpPr>
          <xdr:spPr>
            <a:xfrm>
              <a:off x="4495896" y="0"/>
              <a:ext cx="1285481" cy="1656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86480</xdr:colOff>
      <xdr:row>0</xdr:row>
      <xdr:rowOff>0</xdr:rowOff>
    </xdr:from>
    <xdr:to>
      <xdr:col>11</xdr:col>
      <xdr:colOff>899180</xdr:colOff>
      <xdr:row>8</xdr:row>
      <xdr:rowOff>161882</xdr:rowOff>
    </xdr:to>
    <mc:AlternateContent xmlns:mc="http://schemas.openxmlformats.org/markup-compatibility/2006" xmlns:sle15="http://schemas.microsoft.com/office/drawing/2012/slicer">
      <mc:Choice Requires="sle15">
        <xdr:graphicFrame macro="">
          <xdr:nvGraphicFramePr>
            <xdr:cNvPr id="6" name="Responsible 1">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Responsible 1"/>
            </a:graphicData>
          </a:graphic>
        </xdr:graphicFrame>
      </mc:Choice>
      <mc:Fallback xmlns="">
        <xdr:sp macro="" textlink="">
          <xdr:nvSpPr>
            <xdr:cNvPr id="0" name=""/>
            <xdr:cNvSpPr>
              <a:spLocks noTextEdit="1"/>
            </xdr:cNvSpPr>
          </xdr:nvSpPr>
          <xdr:spPr>
            <a:xfrm>
              <a:off x="9714201" y="0"/>
              <a:ext cx="2810895" cy="1656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1089585</xdr:colOff>
      <xdr:row>0</xdr:row>
      <xdr:rowOff>1</xdr:rowOff>
    </xdr:from>
    <xdr:to>
      <xdr:col>10</xdr:col>
      <xdr:colOff>84044</xdr:colOff>
      <xdr:row>8</xdr:row>
      <xdr:rowOff>158751</xdr:rowOff>
    </xdr:to>
    <mc:AlternateContent xmlns:mc="http://schemas.openxmlformats.org/markup-compatibility/2006" xmlns:sle15="http://schemas.microsoft.com/office/drawing/2012/slicer">
      <mc:Choice Requires="sle15">
        <xdr:graphicFrame macro="">
          <xdr:nvGraphicFramePr>
            <xdr:cNvPr id="7" name="CSF Title 1">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CSF Title 1"/>
            </a:graphicData>
          </a:graphic>
        </xdr:graphicFrame>
      </mc:Choice>
      <mc:Fallback xmlns="">
        <xdr:sp macro="" textlink="">
          <xdr:nvSpPr>
            <xdr:cNvPr id="0" name=""/>
            <xdr:cNvSpPr>
              <a:spLocks noTextEdit="1"/>
            </xdr:cNvSpPr>
          </xdr:nvSpPr>
          <xdr:spPr>
            <a:xfrm>
              <a:off x="5786717" y="1"/>
              <a:ext cx="3925048" cy="165286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171816</xdr:colOff>
      <xdr:row>3</xdr:row>
      <xdr:rowOff>21336</xdr:rowOff>
    </xdr:from>
    <xdr:to>
      <xdr:col>20</xdr:col>
      <xdr:colOff>73039</xdr:colOff>
      <xdr:row>24</xdr:row>
      <xdr:rowOff>1108</xdr:rowOff>
    </xdr:to>
    <xdr:pic>
      <xdr:nvPicPr>
        <xdr:cNvPr id="5" name="Picture 55">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1"/>
        <a:stretch>
          <a:fillRect/>
        </a:stretch>
      </xdr:blipFill>
      <xdr:spPr>
        <a:xfrm>
          <a:off x="841140" y="819377"/>
          <a:ext cx="11395581" cy="4031758"/>
        </a:xfrm>
        <a:prstGeom prst="rect">
          <a:avLst/>
        </a:prstGeom>
      </xdr:spPr>
    </xdr:pic>
    <xdr:clientData/>
  </xdr:twoCellAnchor>
  <xdr:twoCellAnchor>
    <xdr:from>
      <xdr:col>1</xdr:col>
      <xdr:colOff>367940</xdr:colOff>
      <xdr:row>10</xdr:row>
      <xdr:rowOff>136531</xdr:rowOff>
    </xdr:from>
    <xdr:to>
      <xdr:col>2</xdr:col>
      <xdr:colOff>56661</xdr:colOff>
      <xdr:row>13</xdr:row>
      <xdr:rowOff>183299</xdr:rowOff>
    </xdr:to>
    <xdr:sp macro="" textlink="">
      <xdr:nvSpPr>
        <xdr:cNvPr id="31" name="Rectangle 30">
          <a:extLst>
            <a:ext uri="{FF2B5EF4-FFF2-40B4-BE49-F238E27FC236}">
              <a16:creationId xmlns:a16="http://schemas.microsoft.com/office/drawing/2014/main" id="{00000000-0008-0000-0200-00001F000000}"/>
            </a:ext>
          </a:extLst>
        </xdr:cNvPr>
        <xdr:cNvSpPr/>
      </xdr:nvSpPr>
      <xdr:spPr>
        <a:xfrm>
          <a:off x="1037264" y="2286092"/>
          <a:ext cx="293688" cy="625991"/>
        </a:xfrm>
        <a:prstGeom prst="rect">
          <a:avLst/>
        </a:prstGeom>
        <a:noFill/>
        <a:ln w="38100" cap="flat" cmpd="sng" algn="ctr">
          <a:solidFill>
            <a:schemeClr val="accent2"/>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a-DK"/>
          </a:defPPr>
          <a:lvl1pPr marL="0" algn="l" defTabSz="914400" rtl="0" eaLnBrk="1" latinLnBrk="0" hangingPunct="1">
            <a:defRPr sz="1800" kern="1200">
              <a:solidFill>
                <a:sysClr val="window" lastClr="FFFFFF"/>
              </a:solidFill>
              <a:latin typeface="Verdana"/>
            </a:defRPr>
          </a:lvl1pPr>
          <a:lvl2pPr marL="457200" algn="l" defTabSz="914400" rtl="0" eaLnBrk="1" latinLnBrk="0" hangingPunct="1">
            <a:defRPr sz="1800" kern="1200">
              <a:solidFill>
                <a:sysClr val="window" lastClr="FFFFFF"/>
              </a:solidFill>
              <a:latin typeface="Verdana"/>
            </a:defRPr>
          </a:lvl2pPr>
          <a:lvl3pPr marL="914400" algn="l" defTabSz="914400" rtl="0" eaLnBrk="1" latinLnBrk="0" hangingPunct="1">
            <a:defRPr sz="1800" kern="1200">
              <a:solidFill>
                <a:sysClr val="window" lastClr="FFFFFF"/>
              </a:solidFill>
              <a:latin typeface="Verdana"/>
            </a:defRPr>
          </a:lvl3pPr>
          <a:lvl4pPr marL="1371600" algn="l" defTabSz="914400" rtl="0" eaLnBrk="1" latinLnBrk="0" hangingPunct="1">
            <a:defRPr sz="1800" kern="1200">
              <a:solidFill>
                <a:sysClr val="window" lastClr="FFFFFF"/>
              </a:solidFill>
              <a:latin typeface="Verdana"/>
            </a:defRPr>
          </a:lvl4pPr>
          <a:lvl5pPr marL="1828800" algn="l" defTabSz="914400" rtl="0" eaLnBrk="1" latinLnBrk="0" hangingPunct="1">
            <a:defRPr sz="1800" kern="1200">
              <a:solidFill>
                <a:sysClr val="window" lastClr="FFFFFF"/>
              </a:solidFill>
              <a:latin typeface="Verdana"/>
            </a:defRPr>
          </a:lvl5pPr>
          <a:lvl6pPr marL="2286000" algn="l" defTabSz="914400" rtl="0" eaLnBrk="1" latinLnBrk="0" hangingPunct="1">
            <a:defRPr sz="1800" kern="1200">
              <a:solidFill>
                <a:sysClr val="window" lastClr="FFFFFF"/>
              </a:solidFill>
              <a:latin typeface="Verdana"/>
            </a:defRPr>
          </a:lvl6pPr>
          <a:lvl7pPr marL="2743200" algn="l" defTabSz="914400" rtl="0" eaLnBrk="1" latinLnBrk="0" hangingPunct="1">
            <a:defRPr sz="1800" kern="1200">
              <a:solidFill>
                <a:sysClr val="window" lastClr="FFFFFF"/>
              </a:solidFill>
              <a:latin typeface="Verdana"/>
            </a:defRPr>
          </a:lvl7pPr>
          <a:lvl8pPr marL="3200400" algn="l" defTabSz="914400" rtl="0" eaLnBrk="1" latinLnBrk="0" hangingPunct="1">
            <a:defRPr sz="1800" kern="1200">
              <a:solidFill>
                <a:sysClr val="window" lastClr="FFFFFF"/>
              </a:solidFill>
              <a:latin typeface="Verdana"/>
            </a:defRPr>
          </a:lvl8pPr>
          <a:lvl9pPr marL="3657600" algn="l" defTabSz="914400" rtl="0" eaLnBrk="1" latinLnBrk="0" hangingPunct="1">
            <a:defRPr sz="1800" kern="1200">
              <a:solidFill>
                <a:sysClr val="window" lastClr="FFFFFF"/>
              </a:solidFill>
              <a:latin typeface="Verdana"/>
            </a:defRPr>
          </a:lvl9pPr>
        </a:lstStyle>
        <a:p>
          <a:pPr algn="ctr"/>
          <a:endParaRPr lang="en-GB"/>
        </a:p>
      </xdr:txBody>
    </xdr:sp>
    <xdr:clientData/>
  </xdr:twoCellAnchor>
  <xdr:twoCellAnchor>
    <xdr:from>
      <xdr:col>9</xdr:col>
      <xdr:colOff>319235</xdr:colOff>
      <xdr:row>10</xdr:row>
      <xdr:rowOff>159178</xdr:rowOff>
    </xdr:from>
    <xdr:to>
      <xdr:col>14</xdr:col>
      <xdr:colOff>534919</xdr:colOff>
      <xdr:row>14</xdr:row>
      <xdr:rowOff>12872</xdr:rowOff>
    </xdr:to>
    <xdr:sp macro="" textlink="">
      <xdr:nvSpPr>
        <xdr:cNvPr id="3" name="Rectangle 31">
          <a:extLst>
            <a:ext uri="{FF2B5EF4-FFF2-40B4-BE49-F238E27FC236}">
              <a16:creationId xmlns:a16="http://schemas.microsoft.com/office/drawing/2014/main" id="{00000000-0008-0000-0200-000020000000}"/>
            </a:ext>
            <a:ext uri="{147F2762-F138-4A5C-976F-8EAC2B608ADB}">
              <a16:predDERef xmlns:a16="http://schemas.microsoft.com/office/drawing/2014/main" pred="{00000000-0008-0000-0200-00001F000000}"/>
            </a:ext>
          </a:extLst>
        </xdr:cNvPr>
        <xdr:cNvSpPr/>
      </xdr:nvSpPr>
      <xdr:spPr>
        <a:xfrm>
          <a:off x="5828289" y="2308739"/>
          <a:ext cx="3240515" cy="625991"/>
        </a:xfrm>
        <a:prstGeom prst="rect">
          <a:avLst/>
        </a:prstGeom>
        <a:noFill/>
        <a:ln w="38100" cap="flat" cmpd="sng" algn="ctr">
          <a:solidFill>
            <a:schemeClr val="accent2"/>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a-DK"/>
          </a:defPPr>
          <a:lvl1pPr marL="0" algn="l" defTabSz="914400" rtl="0" eaLnBrk="1" latinLnBrk="0" hangingPunct="1">
            <a:defRPr sz="1800" kern="1200">
              <a:solidFill>
                <a:sysClr val="window" lastClr="FFFFFF"/>
              </a:solidFill>
              <a:latin typeface="Verdana"/>
            </a:defRPr>
          </a:lvl1pPr>
          <a:lvl2pPr marL="457200" algn="l" defTabSz="914400" rtl="0" eaLnBrk="1" latinLnBrk="0" hangingPunct="1">
            <a:defRPr sz="1800" kern="1200">
              <a:solidFill>
                <a:sysClr val="window" lastClr="FFFFFF"/>
              </a:solidFill>
              <a:latin typeface="Verdana"/>
            </a:defRPr>
          </a:lvl2pPr>
          <a:lvl3pPr marL="914400" algn="l" defTabSz="914400" rtl="0" eaLnBrk="1" latinLnBrk="0" hangingPunct="1">
            <a:defRPr sz="1800" kern="1200">
              <a:solidFill>
                <a:sysClr val="window" lastClr="FFFFFF"/>
              </a:solidFill>
              <a:latin typeface="Verdana"/>
            </a:defRPr>
          </a:lvl3pPr>
          <a:lvl4pPr marL="1371600" algn="l" defTabSz="914400" rtl="0" eaLnBrk="1" latinLnBrk="0" hangingPunct="1">
            <a:defRPr sz="1800" kern="1200">
              <a:solidFill>
                <a:sysClr val="window" lastClr="FFFFFF"/>
              </a:solidFill>
              <a:latin typeface="Verdana"/>
            </a:defRPr>
          </a:lvl4pPr>
          <a:lvl5pPr marL="1828800" algn="l" defTabSz="914400" rtl="0" eaLnBrk="1" latinLnBrk="0" hangingPunct="1">
            <a:defRPr sz="1800" kern="1200">
              <a:solidFill>
                <a:sysClr val="window" lastClr="FFFFFF"/>
              </a:solidFill>
              <a:latin typeface="Verdana"/>
            </a:defRPr>
          </a:lvl5pPr>
          <a:lvl6pPr marL="2286000" algn="l" defTabSz="914400" rtl="0" eaLnBrk="1" latinLnBrk="0" hangingPunct="1">
            <a:defRPr sz="1800" kern="1200">
              <a:solidFill>
                <a:sysClr val="window" lastClr="FFFFFF"/>
              </a:solidFill>
              <a:latin typeface="Verdana"/>
            </a:defRPr>
          </a:lvl6pPr>
          <a:lvl7pPr marL="2743200" algn="l" defTabSz="914400" rtl="0" eaLnBrk="1" latinLnBrk="0" hangingPunct="1">
            <a:defRPr sz="1800" kern="1200">
              <a:solidFill>
                <a:sysClr val="window" lastClr="FFFFFF"/>
              </a:solidFill>
              <a:latin typeface="Verdana"/>
            </a:defRPr>
          </a:lvl7pPr>
          <a:lvl8pPr marL="3200400" algn="l" defTabSz="914400" rtl="0" eaLnBrk="1" latinLnBrk="0" hangingPunct="1">
            <a:defRPr sz="1800" kern="1200">
              <a:solidFill>
                <a:sysClr val="window" lastClr="FFFFFF"/>
              </a:solidFill>
              <a:latin typeface="Verdana"/>
            </a:defRPr>
          </a:lvl8pPr>
          <a:lvl9pPr marL="3657600" algn="l" defTabSz="914400" rtl="0" eaLnBrk="1" latinLnBrk="0" hangingPunct="1">
            <a:defRPr sz="1800" kern="1200">
              <a:solidFill>
                <a:sysClr val="window" lastClr="FFFFFF"/>
              </a:solidFill>
              <a:latin typeface="Verdana"/>
            </a:defRPr>
          </a:lvl9pPr>
        </a:lstStyle>
        <a:p>
          <a:pPr algn="ctr"/>
          <a:endParaRPr lang="en-GB"/>
        </a:p>
      </xdr:txBody>
    </xdr:sp>
    <xdr:clientData/>
  </xdr:twoCellAnchor>
  <xdr:twoCellAnchor>
    <xdr:from>
      <xdr:col>2</xdr:col>
      <xdr:colOff>56661</xdr:colOff>
      <xdr:row>11</xdr:row>
      <xdr:rowOff>166349</xdr:rowOff>
    </xdr:from>
    <xdr:to>
      <xdr:col>9</xdr:col>
      <xdr:colOff>319235</xdr:colOff>
      <xdr:row>11</xdr:row>
      <xdr:rowOff>188996</xdr:rowOff>
    </xdr:to>
    <xdr:cxnSp macro="">
      <xdr:nvCxnSpPr>
        <xdr:cNvPr id="34" name="Straight Arrow Connector 33">
          <a:extLst>
            <a:ext uri="{FF2B5EF4-FFF2-40B4-BE49-F238E27FC236}">
              <a16:creationId xmlns:a16="http://schemas.microsoft.com/office/drawing/2014/main" id="{00000000-0008-0000-0200-000022000000}"/>
            </a:ext>
          </a:extLst>
        </xdr:cNvPr>
        <xdr:cNvCxnSpPr/>
      </xdr:nvCxnSpPr>
      <xdr:spPr>
        <a:xfrm flipH="1" flipV="1">
          <a:off x="1330952" y="2508984"/>
          <a:ext cx="4497337" cy="22647"/>
        </a:xfrm>
        <a:prstGeom prst="straightConnector1">
          <a:avLst/>
        </a:prstGeom>
        <a:noFill/>
        <a:ln w="38100" cap="flat" cmpd="sng" algn="ctr">
          <a:solidFill>
            <a:schemeClr val="accent2"/>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430430</xdr:colOff>
      <xdr:row>10</xdr:row>
      <xdr:rowOff>180487</xdr:rowOff>
    </xdr:from>
    <xdr:to>
      <xdr:col>18</xdr:col>
      <xdr:colOff>51484</xdr:colOff>
      <xdr:row>14</xdr:row>
      <xdr:rowOff>62199</xdr:rowOff>
    </xdr:to>
    <xdr:grpSp>
      <xdr:nvGrpSpPr>
        <xdr:cNvPr id="43" name="Group 42">
          <a:extLst>
            <a:ext uri="{FF2B5EF4-FFF2-40B4-BE49-F238E27FC236}">
              <a16:creationId xmlns:a16="http://schemas.microsoft.com/office/drawing/2014/main" id="{00000000-0008-0000-0200-00002B000000}"/>
            </a:ext>
          </a:extLst>
        </xdr:cNvPr>
        <xdr:cNvGrpSpPr/>
      </xdr:nvGrpSpPr>
      <xdr:grpSpPr>
        <a:xfrm>
          <a:off x="9069191" y="2309117"/>
          <a:ext cx="2072706" cy="643712"/>
          <a:chOff x="10038426" y="1382460"/>
          <a:chExt cx="2153198" cy="645707"/>
        </a:xfrm>
      </xdr:grpSpPr>
      <xdr:sp macro="" textlink="">
        <xdr:nvSpPr>
          <xdr:cNvPr id="37" name="Rounded Rectangle 36">
            <a:extLst>
              <a:ext uri="{FF2B5EF4-FFF2-40B4-BE49-F238E27FC236}">
                <a16:creationId xmlns:a16="http://schemas.microsoft.com/office/drawing/2014/main" id="{00000000-0008-0000-0200-000025000000}"/>
              </a:ext>
            </a:extLst>
          </xdr:cNvPr>
          <xdr:cNvSpPr/>
        </xdr:nvSpPr>
        <xdr:spPr>
          <a:xfrm>
            <a:off x="10158618" y="1506691"/>
            <a:ext cx="2033006" cy="521476"/>
          </a:xfrm>
          <a:prstGeom prst="roundRect">
            <a:avLst/>
          </a:prstGeom>
          <a:solidFill>
            <a:schemeClr val="accent2"/>
          </a:solidFill>
          <a:ln w="10795"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a-DK"/>
            </a:defPPr>
            <a:lvl1pPr marL="0" algn="l" defTabSz="914400" rtl="0" eaLnBrk="1" latinLnBrk="0" hangingPunct="1">
              <a:defRPr sz="1800" kern="1200">
                <a:solidFill>
                  <a:sysClr val="window" lastClr="FFFFFF"/>
                </a:solidFill>
                <a:latin typeface="Verdana"/>
              </a:defRPr>
            </a:lvl1pPr>
            <a:lvl2pPr marL="457200" algn="l" defTabSz="914400" rtl="0" eaLnBrk="1" latinLnBrk="0" hangingPunct="1">
              <a:defRPr sz="1800" kern="1200">
                <a:solidFill>
                  <a:sysClr val="window" lastClr="FFFFFF"/>
                </a:solidFill>
                <a:latin typeface="Verdana"/>
              </a:defRPr>
            </a:lvl2pPr>
            <a:lvl3pPr marL="914400" algn="l" defTabSz="914400" rtl="0" eaLnBrk="1" latinLnBrk="0" hangingPunct="1">
              <a:defRPr sz="1800" kern="1200">
                <a:solidFill>
                  <a:sysClr val="window" lastClr="FFFFFF"/>
                </a:solidFill>
                <a:latin typeface="Verdana"/>
              </a:defRPr>
            </a:lvl3pPr>
            <a:lvl4pPr marL="1371600" algn="l" defTabSz="914400" rtl="0" eaLnBrk="1" latinLnBrk="0" hangingPunct="1">
              <a:defRPr sz="1800" kern="1200">
                <a:solidFill>
                  <a:sysClr val="window" lastClr="FFFFFF"/>
                </a:solidFill>
                <a:latin typeface="Verdana"/>
              </a:defRPr>
            </a:lvl4pPr>
            <a:lvl5pPr marL="1828800" algn="l" defTabSz="914400" rtl="0" eaLnBrk="1" latinLnBrk="0" hangingPunct="1">
              <a:defRPr sz="1800" kern="1200">
                <a:solidFill>
                  <a:sysClr val="window" lastClr="FFFFFF"/>
                </a:solidFill>
                <a:latin typeface="Verdana"/>
              </a:defRPr>
            </a:lvl5pPr>
            <a:lvl6pPr marL="2286000" algn="l" defTabSz="914400" rtl="0" eaLnBrk="1" latinLnBrk="0" hangingPunct="1">
              <a:defRPr sz="1800" kern="1200">
                <a:solidFill>
                  <a:sysClr val="window" lastClr="FFFFFF"/>
                </a:solidFill>
                <a:latin typeface="Verdana"/>
              </a:defRPr>
            </a:lvl6pPr>
            <a:lvl7pPr marL="2743200" algn="l" defTabSz="914400" rtl="0" eaLnBrk="1" latinLnBrk="0" hangingPunct="1">
              <a:defRPr sz="1800" kern="1200">
                <a:solidFill>
                  <a:sysClr val="window" lastClr="FFFFFF"/>
                </a:solidFill>
                <a:latin typeface="Verdana"/>
              </a:defRPr>
            </a:lvl7pPr>
            <a:lvl8pPr marL="3200400" algn="l" defTabSz="914400" rtl="0" eaLnBrk="1" latinLnBrk="0" hangingPunct="1">
              <a:defRPr sz="1800" kern="1200">
                <a:solidFill>
                  <a:sysClr val="window" lastClr="FFFFFF"/>
                </a:solidFill>
                <a:latin typeface="Verdana"/>
              </a:defRPr>
            </a:lvl8pPr>
            <a:lvl9pPr marL="3657600" algn="l" defTabSz="914400" rtl="0" eaLnBrk="1" latinLnBrk="0" hangingPunct="1">
              <a:defRPr sz="1800" kern="1200">
                <a:solidFill>
                  <a:sysClr val="window" lastClr="FFFFFF"/>
                </a:solidFill>
                <a:latin typeface="Verdana"/>
              </a:defRPr>
            </a:lvl9pPr>
          </a:lstStyle>
          <a:p>
            <a:pPr algn="ctr"/>
            <a:r>
              <a:rPr lang="en-GB" sz="1000" b="1"/>
              <a:t>Creating CSFs</a:t>
            </a:r>
          </a:p>
          <a:p>
            <a:pPr algn="ctr"/>
            <a:r>
              <a:rPr lang="en-GB" sz="1000"/>
              <a:t>Whole numbers in column "#" indicate a CSF</a:t>
            </a:r>
          </a:p>
        </xdr:txBody>
      </xdr:sp>
      <xdr:sp macro="" textlink="">
        <xdr:nvSpPr>
          <xdr:cNvPr id="39" name="TextBox 41">
            <a:extLst>
              <a:ext uri="{FF2B5EF4-FFF2-40B4-BE49-F238E27FC236}">
                <a16:creationId xmlns:a16="http://schemas.microsoft.com/office/drawing/2014/main" id="{00000000-0008-0000-0200-000027000000}"/>
              </a:ext>
            </a:extLst>
          </xdr:cNvPr>
          <xdr:cNvSpPr txBox="1"/>
        </xdr:nvSpPr>
        <xdr:spPr>
          <a:xfrm>
            <a:off x="10038426" y="1382460"/>
            <a:ext cx="290513" cy="288627"/>
          </a:xfrm>
          <a:prstGeom prst="ellipse">
            <a:avLst/>
          </a:prstGeom>
          <a:solidFill>
            <a:schemeClr val="accent2"/>
          </a:solidFill>
          <a:ln w="28575">
            <a:solidFill>
              <a:sysClr val="window" lastClr="FFFFFF"/>
            </a:solidFill>
          </a:ln>
          <a:effectLst>
            <a:outerShdw blurRad="50800" dist="38100" dir="2700000" algn="tl" rotWithShape="0">
              <a:prstClr val="black">
                <a:alpha val="40000"/>
              </a:prstClr>
            </a:outerShdw>
          </a:effectLst>
        </xdr:spPr>
        <xdr:txBody>
          <a:bodyPr wrap="square" lIns="0" tIns="0" rIns="0" bIns="0" rtlCol="0" anchor="ctr" anchorCtr="0">
            <a:noAutofit/>
          </a:bodyPr>
          <a:lstStyle>
            <a:defPPr>
              <a:defRPr lang="da-DK"/>
            </a:defPPr>
            <a:lvl1pPr marL="0" algn="l" defTabSz="914400" rtl="0" eaLnBrk="1" latinLnBrk="0" hangingPunct="1">
              <a:defRPr sz="1800" kern="1200">
                <a:solidFill>
                  <a:srgbClr val="000000"/>
                </a:solidFill>
                <a:latin typeface="Verdana"/>
              </a:defRPr>
            </a:lvl1pPr>
            <a:lvl2pPr marL="457200" algn="l" defTabSz="914400" rtl="0" eaLnBrk="1" latinLnBrk="0" hangingPunct="1">
              <a:defRPr sz="1800" kern="1200">
                <a:solidFill>
                  <a:srgbClr val="000000"/>
                </a:solidFill>
                <a:latin typeface="Verdana"/>
              </a:defRPr>
            </a:lvl2pPr>
            <a:lvl3pPr marL="914400" algn="l" defTabSz="914400" rtl="0" eaLnBrk="1" latinLnBrk="0" hangingPunct="1">
              <a:defRPr sz="1800" kern="1200">
                <a:solidFill>
                  <a:srgbClr val="000000"/>
                </a:solidFill>
                <a:latin typeface="Verdana"/>
              </a:defRPr>
            </a:lvl3pPr>
            <a:lvl4pPr marL="1371600" algn="l" defTabSz="914400" rtl="0" eaLnBrk="1" latinLnBrk="0" hangingPunct="1">
              <a:defRPr sz="1800" kern="1200">
                <a:solidFill>
                  <a:srgbClr val="000000"/>
                </a:solidFill>
                <a:latin typeface="Verdana"/>
              </a:defRPr>
            </a:lvl4pPr>
            <a:lvl5pPr marL="1828800" algn="l" defTabSz="914400" rtl="0" eaLnBrk="1" latinLnBrk="0" hangingPunct="1">
              <a:defRPr sz="1800" kern="1200">
                <a:solidFill>
                  <a:srgbClr val="000000"/>
                </a:solidFill>
                <a:latin typeface="Verdana"/>
              </a:defRPr>
            </a:lvl5pPr>
            <a:lvl6pPr marL="2286000" algn="l" defTabSz="914400" rtl="0" eaLnBrk="1" latinLnBrk="0" hangingPunct="1">
              <a:defRPr sz="1800" kern="1200">
                <a:solidFill>
                  <a:srgbClr val="000000"/>
                </a:solidFill>
                <a:latin typeface="Verdana"/>
              </a:defRPr>
            </a:lvl6pPr>
            <a:lvl7pPr marL="2743200" algn="l" defTabSz="914400" rtl="0" eaLnBrk="1" latinLnBrk="0" hangingPunct="1">
              <a:defRPr sz="1800" kern="1200">
                <a:solidFill>
                  <a:srgbClr val="000000"/>
                </a:solidFill>
                <a:latin typeface="Verdana"/>
              </a:defRPr>
            </a:lvl7pPr>
            <a:lvl8pPr marL="3200400" algn="l" defTabSz="914400" rtl="0" eaLnBrk="1" latinLnBrk="0" hangingPunct="1">
              <a:defRPr sz="1800" kern="1200">
                <a:solidFill>
                  <a:srgbClr val="000000"/>
                </a:solidFill>
                <a:latin typeface="Verdana"/>
              </a:defRPr>
            </a:lvl8pPr>
            <a:lvl9pPr marL="3657600" algn="l" defTabSz="914400" rtl="0" eaLnBrk="1" latinLnBrk="0" hangingPunct="1">
              <a:defRPr sz="1800" kern="1200">
                <a:solidFill>
                  <a:srgbClr val="000000"/>
                </a:solidFill>
                <a:latin typeface="Verdana"/>
              </a:defRPr>
            </a:lvl9pPr>
          </a:lstStyle>
          <a:p>
            <a:pPr algn="ctr"/>
            <a:r>
              <a:rPr lang="en-GB" sz="1400" b="1">
                <a:solidFill>
                  <a:schemeClr val="bg1"/>
                </a:solidFill>
              </a:rPr>
              <a:t>2</a:t>
            </a:r>
          </a:p>
        </xdr:txBody>
      </xdr:sp>
    </xdr:grpSp>
    <xdr:clientData/>
  </xdr:twoCellAnchor>
  <xdr:twoCellAnchor editAs="oneCell">
    <xdr:from>
      <xdr:col>1</xdr:col>
      <xdr:colOff>318980</xdr:colOff>
      <xdr:row>1</xdr:row>
      <xdr:rowOff>20935</xdr:rowOff>
    </xdr:from>
    <xdr:to>
      <xdr:col>6</xdr:col>
      <xdr:colOff>479725</xdr:colOff>
      <xdr:row>1</xdr:row>
      <xdr:rowOff>293107</xdr:rowOff>
    </xdr:to>
    <xdr:pic>
      <xdr:nvPicPr>
        <xdr:cNvPr id="49" name="Picture 48">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2"/>
        <a:stretch>
          <a:fillRect/>
        </a:stretch>
      </xdr:blipFill>
      <xdr:spPr>
        <a:xfrm>
          <a:off x="926068" y="314012"/>
          <a:ext cx="3196184" cy="272172"/>
        </a:xfrm>
        <a:prstGeom prst="rect">
          <a:avLst/>
        </a:prstGeom>
      </xdr:spPr>
    </xdr:pic>
    <xdr:clientData/>
  </xdr:twoCellAnchor>
  <xdr:twoCellAnchor>
    <xdr:from>
      <xdr:col>0</xdr:col>
      <xdr:colOff>554754</xdr:colOff>
      <xdr:row>2</xdr:row>
      <xdr:rowOff>134698</xdr:rowOff>
    </xdr:from>
    <xdr:to>
      <xdr:col>23</xdr:col>
      <xdr:colOff>56032</xdr:colOff>
      <xdr:row>24</xdr:row>
      <xdr:rowOff>76970</xdr:rowOff>
    </xdr:to>
    <xdr:sp macro="" textlink="">
      <xdr:nvSpPr>
        <xdr:cNvPr id="51" name="Rectangle 50">
          <a:extLst>
            <a:ext uri="{FF2B5EF4-FFF2-40B4-BE49-F238E27FC236}">
              <a16:creationId xmlns:a16="http://schemas.microsoft.com/office/drawing/2014/main" id="{00000000-0008-0000-0200-000033000000}"/>
            </a:ext>
          </a:extLst>
        </xdr:cNvPr>
        <xdr:cNvSpPr/>
      </xdr:nvSpPr>
      <xdr:spPr>
        <a:xfrm rot="16200000">
          <a:off x="5231228" y="-3947864"/>
          <a:ext cx="4133272" cy="13486219"/>
        </a:xfrm>
        <a:prstGeom prst="rect">
          <a:avLst/>
        </a:prstGeom>
        <a:no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0</xdr:col>
      <xdr:colOff>134698</xdr:colOff>
      <xdr:row>2</xdr:row>
      <xdr:rowOff>134698</xdr:rowOff>
    </xdr:from>
    <xdr:to>
      <xdr:col>1</xdr:col>
      <xdr:colOff>38486</xdr:colOff>
      <xdr:row>24</xdr:row>
      <xdr:rowOff>76970</xdr:rowOff>
    </xdr:to>
    <xdr:sp macro="" textlink="">
      <xdr:nvSpPr>
        <xdr:cNvPr id="48" name="Rectangle 47">
          <a:extLst>
            <a:ext uri="{FF2B5EF4-FFF2-40B4-BE49-F238E27FC236}">
              <a16:creationId xmlns:a16="http://schemas.microsoft.com/office/drawing/2014/main" id="{00000000-0008-0000-0200-000030000000}"/>
            </a:ext>
          </a:extLst>
        </xdr:cNvPr>
        <xdr:cNvSpPr/>
      </xdr:nvSpPr>
      <xdr:spPr>
        <a:xfrm rot="16200000">
          <a:off x="-1698143" y="2352387"/>
          <a:ext cx="4175606" cy="509924"/>
        </a:xfrm>
        <a:prstGeom prst="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Verdana" panose="020B0604030504040204" pitchFamily="34" charset="0"/>
              <a:ea typeface="Verdana" panose="020B0604030504040204" pitchFamily="34" charset="0"/>
              <a:cs typeface="Verdana" panose="020B0604030504040204" pitchFamily="34" charset="0"/>
            </a:rPr>
            <a:t>BP</a:t>
          </a:r>
          <a:r>
            <a:rPr lang="en-US" sz="2000" b="1" baseline="0">
              <a:latin typeface="Verdana" panose="020B0604030504040204" pitchFamily="34" charset="0"/>
              <a:ea typeface="Verdana" panose="020B0604030504040204" pitchFamily="34" charset="0"/>
              <a:cs typeface="Verdana" panose="020B0604030504040204" pitchFamily="34" charset="0"/>
            </a:rPr>
            <a:t> actions</a:t>
          </a:r>
          <a:endParaRPr lang="en-US" sz="2000" b="1">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0</xdr:col>
      <xdr:colOff>554754</xdr:colOff>
      <xdr:row>25</xdr:row>
      <xdr:rowOff>9094</xdr:rowOff>
    </xdr:from>
    <xdr:to>
      <xdr:col>23</xdr:col>
      <xdr:colOff>56033</xdr:colOff>
      <xdr:row>47</xdr:row>
      <xdr:rowOff>76395</xdr:rowOff>
    </xdr:to>
    <xdr:sp macro="" textlink="">
      <xdr:nvSpPr>
        <xdr:cNvPr id="52" name="Rectangle 51">
          <a:extLst>
            <a:ext uri="{FF2B5EF4-FFF2-40B4-BE49-F238E27FC236}">
              <a16:creationId xmlns:a16="http://schemas.microsoft.com/office/drawing/2014/main" id="{00000000-0008-0000-0200-000034000000}"/>
            </a:ext>
          </a:extLst>
        </xdr:cNvPr>
        <xdr:cNvSpPr/>
      </xdr:nvSpPr>
      <xdr:spPr>
        <a:xfrm rot="16200000">
          <a:off x="5168713" y="370547"/>
          <a:ext cx="4258301" cy="13486220"/>
        </a:xfrm>
        <a:prstGeom prst="rect">
          <a:avLst/>
        </a:prstGeom>
        <a:noFill/>
        <a:ln>
          <a:solidFill>
            <a:schemeClr val="tx2"/>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0</xdr:col>
      <xdr:colOff>134699</xdr:colOff>
      <xdr:row>25</xdr:row>
      <xdr:rowOff>9622</xdr:rowOff>
    </xdr:from>
    <xdr:to>
      <xdr:col>1</xdr:col>
      <xdr:colOff>38487</xdr:colOff>
      <xdr:row>47</xdr:row>
      <xdr:rowOff>81067</xdr:rowOff>
    </xdr:to>
    <xdr:sp macro="" textlink="">
      <xdr:nvSpPr>
        <xdr:cNvPr id="50" name="Rectangle 49">
          <a:extLst>
            <a:ext uri="{FF2B5EF4-FFF2-40B4-BE49-F238E27FC236}">
              <a16:creationId xmlns:a16="http://schemas.microsoft.com/office/drawing/2014/main" id="{00000000-0008-0000-0200-000032000000}"/>
            </a:ext>
          </a:extLst>
        </xdr:cNvPr>
        <xdr:cNvSpPr/>
      </xdr:nvSpPr>
      <xdr:spPr>
        <a:xfrm rot="16200000">
          <a:off x="-1732533" y="7095338"/>
          <a:ext cx="4307030" cy="572565"/>
        </a:xfrm>
        <a:prstGeom prst="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Verdana" panose="020B0604030504040204" pitchFamily="34" charset="0"/>
              <a:ea typeface="Verdana" panose="020B0604030504040204" pitchFamily="34" charset="0"/>
              <a:cs typeface="Verdana" panose="020B0604030504040204" pitchFamily="34" charset="0"/>
            </a:rPr>
            <a:t>High-level overview</a:t>
          </a:r>
        </a:p>
      </xdr:txBody>
    </xdr:sp>
    <xdr:clientData/>
  </xdr:twoCellAnchor>
  <xdr:twoCellAnchor>
    <xdr:from>
      <xdr:col>17</xdr:col>
      <xdr:colOff>25744</xdr:colOff>
      <xdr:row>2</xdr:row>
      <xdr:rowOff>137740</xdr:rowOff>
    </xdr:from>
    <xdr:to>
      <xdr:col>23</xdr:col>
      <xdr:colOff>61019</xdr:colOff>
      <xdr:row>7</xdr:row>
      <xdr:rowOff>91197</xdr:rowOff>
    </xdr:to>
    <xdr:sp macro="" textlink="">
      <xdr:nvSpPr>
        <xdr:cNvPr id="57" name="Rectangle 56">
          <a:extLst>
            <a:ext uri="{FF2B5EF4-FFF2-40B4-BE49-F238E27FC236}">
              <a16:creationId xmlns:a16="http://schemas.microsoft.com/office/drawing/2014/main" id="{00000000-0008-0000-0200-000039000000}"/>
            </a:ext>
          </a:extLst>
        </xdr:cNvPr>
        <xdr:cNvSpPr/>
      </xdr:nvSpPr>
      <xdr:spPr>
        <a:xfrm>
          <a:off x="10422180" y="735586"/>
          <a:ext cx="3683148" cy="9160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Verdana" panose="020B0604030504040204" pitchFamily="34" charset="0"/>
              <a:ea typeface="Verdana" panose="020B0604030504040204" pitchFamily="34" charset="0"/>
              <a:cs typeface="Verdana" panose="020B0604030504040204" pitchFamily="34" charset="0"/>
            </a:rPr>
            <a:t>Use the </a:t>
          </a:r>
          <a:r>
            <a:rPr lang="en-US" sz="1100" b="1" i="1">
              <a:latin typeface="Verdana" panose="020B0604030504040204" pitchFamily="34" charset="0"/>
              <a:ea typeface="Verdana" panose="020B0604030504040204" pitchFamily="34" charset="0"/>
              <a:cs typeface="Verdana" panose="020B0604030504040204" pitchFamily="34" charset="0"/>
            </a:rPr>
            <a:t>BP Actions</a:t>
          </a:r>
          <a:r>
            <a:rPr lang="en-US" sz="1100" b="1" i="1" baseline="0">
              <a:latin typeface="Verdana" panose="020B0604030504040204" pitchFamily="34" charset="0"/>
              <a:ea typeface="Verdana" panose="020B0604030504040204" pitchFamily="34" charset="0"/>
              <a:cs typeface="Verdana" panose="020B0604030504040204" pitchFamily="34" charset="0"/>
            </a:rPr>
            <a:t> </a:t>
          </a:r>
          <a:r>
            <a:rPr lang="en-US" sz="1100" b="1">
              <a:latin typeface="Verdana" panose="020B0604030504040204" pitchFamily="34" charset="0"/>
              <a:ea typeface="Verdana" panose="020B0604030504040204" pitchFamily="34" charset="0"/>
              <a:cs typeface="Verdana" panose="020B0604030504040204" pitchFamily="34" charset="0"/>
            </a:rPr>
            <a:t>sheet to:</a:t>
          </a:r>
        </a:p>
        <a:p>
          <a:pPr algn="l"/>
          <a:r>
            <a:rPr lang="en-US" sz="1100">
              <a:latin typeface="Verdana" panose="020B0604030504040204" pitchFamily="34" charset="0"/>
              <a:ea typeface="Verdana" panose="020B0604030504040204" pitchFamily="34" charset="0"/>
              <a:cs typeface="Verdana" panose="020B0604030504040204" pitchFamily="34" charset="0"/>
            </a:rPr>
            <a:t>- Define CSFs and actions </a:t>
          </a:r>
        </a:p>
        <a:p>
          <a:pPr algn="l"/>
          <a:r>
            <a:rPr lang="en-US" sz="1100">
              <a:latin typeface="Verdana" panose="020B0604030504040204" pitchFamily="34" charset="0"/>
              <a:ea typeface="Verdana" panose="020B0604030504040204" pitchFamily="34" charset="0"/>
              <a:cs typeface="Verdana" panose="020B0604030504040204" pitchFamily="34" charset="0"/>
            </a:rPr>
            <a:t>-</a:t>
          </a:r>
          <a:r>
            <a:rPr lang="en-US" sz="1100" baseline="0">
              <a:latin typeface="Verdana" panose="020B0604030504040204" pitchFamily="34" charset="0"/>
              <a:ea typeface="Verdana" panose="020B0604030504040204" pitchFamily="34" charset="0"/>
              <a:cs typeface="Verdana" panose="020B0604030504040204" pitchFamily="34" charset="0"/>
            </a:rPr>
            <a:t> Define responsible, participants and deadline</a:t>
          </a:r>
        </a:p>
        <a:p>
          <a:pPr algn="l"/>
          <a:r>
            <a:rPr lang="en-US" sz="1100" baseline="0">
              <a:latin typeface="Verdana" panose="020B0604030504040204" pitchFamily="34" charset="0"/>
              <a:ea typeface="Verdana" panose="020B0604030504040204" pitchFamily="34" charset="0"/>
              <a:cs typeface="Verdana" panose="020B0604030504040204" pitchFamily="34" charset="0"/>
            </a:rPr>
            <a:t>- Update ongoing status on specific actions </a:t>
          </a:r>
        </a:p>
        <a:p>
          <a:pPr algn="l"/>
          <a:endParaRPr lang="en-US" sz="1100" baseline="0">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1</xdr:col>
      <xdr:colOff>126260</xdr:colOff>
      <xdr:row>2</xdr:row>
      <xdr:rowOff>168885</xdr:rowOff>
    </xdr:from>
    <xdr:to>
      <xdr:col>12</xdr:col>
      <xdr:colOff>38614</xdr:colOff>
      <xdr:row>10</xdr:row>
      <xdr:rowOff>77230</xdr:rowOff>
    </xdr:to>
    <xdr:sp macro="" textlink="">
      <xdr:nvSpPr>
        <xdr:cNvPr id="58" name="Rectangle 57">
          <a:extLst>
            <a:ext uri="{FF2B5EF4-FFF2-40B4-BE49-F238E27FC236}">
              <a16:creationId xmlns:a16="http://schemas.microsoft.com/office/drawing/2014/main" id="{00000000-0008-0000-0200-00003A000000}"/>
            </a:ext>
          </a:extLst>
        </xdr:cNvPr>
        <xdr:cNvSpPr/>
      </xdr:nvSpPr>
      <xdr:spPr>
        <a:xfrm>
          <a:off x="795584" y="773851"/>
          <a:ext cx="6566983" cy="1452940"/>
        </a:xfrm>
        <a:prstGeom prst="rect">
          <a:avLst/>
        </a:prstGeom>
        <a:noFill/>
        <a:ln w="38100" cap="flat" cmpd="sng" algn="ctr">
          <a:solidFill>
            <a:schemeClr val="accent2"/>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a-DK"/>
          </a:defPPr>
          <a:lvl1pPr marL="0" algn="l" defTabSz="914400" rtl="0" eaLnBrk="1" latinLnBrk="0" hangingPunct="1">
            <a:defRPr sz="1800" kern="1200">
              <a:solidFill>
                <a:sysClr val="window" lastClr="FFFFFF"/>
              </a:solidFill>
              <a:latin typeface="Verdana"/>
            </a:defRPr>
          </a:lvl1pPr>
          <a:lvl2pPr marL="457200" algn="l" defTabSz="914400" rtl="0" eaLnBrk="1" latinLnBrk="0" hangingPunct="1">
            <a:defRPr sz="1800" kern="1200">
              <a:solidFill>
                <a:sysClr val="window" lastClr="FFFFFF"/>
              </a:solidFill>
              <a:latin typeface="Verdana"/>
            </a:defRPr>
          </a:lvl2pPr>
          <a:lvl3pPr marL="914400" algn="l" defTabSz="914400" rtl="0" eaLnBrk="1" latinLnBrk="0" hangingPunct="1">
            <a:defRPr sz="1800" kern="1200">
              <a:solidFill>
                <a:sysClr val="window" lastClr="FFFFFF"/>
              </a:solidFill>
              <a:latin typeface="Verdana"/>
            </a:defRPr>
          </a:lvl3pPr>
          <a:lvl4pPr marL="1371600" algn="l" defTabSz="914400" rtl="0" eaLnBrk="1" latinLnBrk="0" hangingPunct="1">
            <a:defRPr sz="1800" kern="1200">
              <a:solidFill>
                <a:sysClr val="window" lastClr="FFFFFF"/>
              </a:solidFill>
              <a:latin typeface="Verdana"/>
            </a:defRPr>
          </a:lvl4pPr>
          <a:lvl5pPr marL="1828800" algn="l" defTabSz="914400" rtl="0" eaLnBrk="1" latinLnBrk="0" hangingPunct="1">
            <a:defRPr sz="1800" kern="1200">
              <a:solidFill>
                <a:sysClr val="window" lastClr="FFFFFF"/>
              </a:solidFill>
              <a:latin typeface="Verdana"/>
            </a:defRPr>
          </a:lvl5pPr>
          <a:lvl6pPr marL="2286000" algn="l" defTabSz="914400" rtl="0" eaLnBrk="1" latinLnBrk="0" hangingPunct="1">
            <a:defRPr sz="1800" kern="1200">
              <a:solidFill>
                <a:sysClr val="window" lastClr="FFFFFF"/>
              </a:solidFill>
              <a:latin typeface="Verdana"/>
            </a:defRPr>
          </a:lvl6pPr>
          <a:lvl7pPr marL="2743200" algn="l" defTabSz="914400" rtl="0" eaLnBrk="1" latinLnBrk="0" hangingPunct="1">
            <a:defRPr sz="1800" kern="1200">
              <a:solidFill>
                <a:sysClr val="window" lastClr="FFFFFF"/>
              </a:solidFill>
              <a:latin typeface="Verdana"/>
            </a:defRPr>
          </a:lvl7pPr>
          <a:lvl8pPr marL="3200400" algn="l" defTabSz="914400" rtl="0" eaLnBrk="1" latinLnBrk="0" hangingPunct="1">
            <a:defRPr sz="1800" kern="1200">
              <a:solidFill>
                <a:sysClr val="window" lastClr="FFFFFF"/>
              </a:solidFill>
              <a:latin typeface="Verdana"/>
            </a:defRPr>
          </a:lvl8pPr>
          <a:lvl9pPr marL="3657600" algn="l" defTabSz="914400" rtl="0" eaLnBrk="1" latinLnBrk="0" hangingPunct="1">
            <a:defRPr sz="1800" kern="1200">
              <a:solidFill>
                <a:sysClr val="window" lastClr="FFFFFF"/>
              </a:solidFill>
              <a:latin typeface="Verdana"/>
            </a:defRPr>
          </a:lvl9pPr>
        </a:lstStyle>
        <a:p>
          <a:pPr algn="ctr"/>
          <a:endParaRPr lang="en-GB"/>
        </a:p>
      </xdr:txBody>
    </xdr:sp>
    <xdr:clientData/>
  </xdr:twoCellAnchor>
  <xdr:twoCellAnchor>
    <xdr:from>
      <xdr:col>11</xdr:col>
      <xdr:colOff>561763</xdr:colOff>
      <xdr:row>2</xdr:row>
      <xdr:rowOff>132390</xdr:rowOff>
    </xdr:from>
    <xdr:to>
      <xdr:col>16</xdr:col>
      <xdr:colOff>90100</xdr:colOff>
      <xdr:row>6</xdr:row>
      <xdr:rowOff>131278</xdr:rowOff>
    </xdr:to>
    <xdr:grpSp>
      <xdr:nvGrpSpPr>
        <xdr:cNvPr id="59" name="Group 58">
          <a:extLst>
            <a:ext uri="{FF2B5EF4-FFF2-40B4-BE49-F238E27FC236}">
              <a16:creationId xmlns:a16="http://schemas.microsoft.com/office/drawing/2014/main" id="{00000000-0008-0000-0200-00003B000000}"/>
            </a:ext>
          </a:extLst>
        </xdr:cNvPr>
        <xdr:cNvGrpSpPr/>
      </xdr:nvGrpSpPr>
      <xdr:grpSpPr>
        <a:xfrm>
          <a:off x="7361785" y="737020"/>
          <a:ext cx="2592902" cy="760888"/>
          <a:chOff x="7808486" y="1110633"/>
          <a:chExt cx="2553169" cy="771186"/>
        </a:xfrm>
      </xdr:grpSpPr>
      <xdr:sp macro="" textlink="">
        <xdr:nvSpPr>
          <xdr:cNvPr id="33" name="Rounded Rectangle 32">
            <a:extLst>
              <a:ext uri="{FF2B5EF4-FFF2-40B4-BE49-F238E27FC236}">
                <a16:creationId xmlns:a16="http://schemas.microsoft.com/office/drawing/2014/main" id="{00000000-0008-0000-0200-000021000000}"/>
              </a:ext>
            </a:extLst>
          </xdr:cNvPr>
          <xdr:cNvSpPr/>
        </xdr:nvSpPr>
        <xdr:spPr>
          <a:xfrm>
            <a:off x="7905966" y="1211666"/>
            <a:ext cx="2455689" cy="670153"/>
          </a:xfrm>
          <a:prstGeom prst="roundRect">
            <a:avLst/>
          </a:prstGeom>
          <a:solidFill>
            <a:schemeClr val="accent2"/>
          </a:solidFill>
          <a:ln w="10795"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a-DK"/>
            </a:defPPr>
            <a:lvl1pPr marL="0" algn="l" defTabSz="914400" rtl="0" eaLnBrk="1" latinLnBrk="0" hangingPunct="1">
              <a:defRPr sz="1800" kern="1200">
                <a:solidFill>
                  <a:sysClr val="window" lastClr="FFFFFF"/>
                </a:solidFill>
                <a:latin typeface="Verdana"/>
              </a:defRPr>
            </a:lvl1pPr>
            <a:lvl2pPr marL="457200" algn="l" defTabSz="914400" rtl="0" eaLnBrk="1" latinLnBrk="0" hangingPunct="1">
              <a:defRPr sz="1800" kern="1200">
                <a:solidFill>
                  <a:sysClr val="window" lastClr="FFFFFF"/>
                </a:solidFill>
                <a:latin typeface="Verdana"/>
              </a:defRPr>
            </a:lvl2pPr>
            <a:lvl3pPr marL="914400" algn="l" defTabSz="914400" rtl="0" eaLnBrk="1" latinLnBrk="0" hangingPunct="1">
              <a:defRPr sz="1800" kern="1200">
                <a:solidFill>
                  <a:sysClr val="window" lastClr="FFFFFF"/>
                </a:solidFill>
                <a:latin typeface="Verdana"/>
              </a:defRPr>
            </a:lvl3pPr>
            <a:lvl4pPr marL="1371600" algn="l" defTabSz="914400" rtl="0" eaLnBrk="1" latinLnBrk="0" hangingPunct="1">
              <a:defRPr sz="1800" kern="1200">
                <a:solidFill>
                  <a:sysClr val="window" lastClr="FFFFFF"/>
                </a:solidFill>
                <a:latin typeface="Verdana"/>
              </a:defRPr>
            </a:lvl4pPr>
            <a:lvl5pPr marL="1828800" algn="l" defTabSz="914400" rtl="0" eaLnBrk="1" latinLnBrk="0" hangingPunct="1">
              <a:defRPr sz="1800" kern="1200">
                <a:solidFill>
                  <a:sysClr val="window" lastClr="FFFFFF"/>
                </a:solidFill>
                <a:latin typeface="Verdana"/>
              </a:defRPr>
            </a:lvl5pPr>
            <a:lvl6pPr marL="2286000" algn="l" defTabSz="914400" rtl="0" eaLnBrk="1" latinLnBrk="0" hangingPunct="1">
              <a:defRPr sz="1800" kern="1200">
                <a:solidFill>
                  <a:sysClr val="window" lastClr="FFFFFF"/>
                </a:solidFill>
                <a:latin typeface="Verdana"/>
              </a:defRPr>
            </a:lvl6pPr>
            <a:lvl7pPr marL="2743200" algn="l" defTabSz="914400" rtl="0" eaLnBrk="1" latinLnBrk="0" hangingPunct="1">
              <a:defRPr sz="1800" kern="1200">
                <a:solidFill>
                  <a:sysClr val="window" lastClr="FFFFFF"/>
                </a:solidFill>
                <a:latin typeface="Verdana"/>
              </a:defRPr>
            </a:lvl7pPr>
            <a:lvl8pPr marL="3200400" algn="l" defTabSz="914400" rtl="0" eaLnBrk="1" latinLnBrk="0" hangingPunct="1">
              <a:defRPr sz="1800" kern="1200">
                <a:solidFill>
                  <a:sysClr val="window" lastClr="FFFFFF"/>
                </a:solidFill>
                <a:latin typeface="Verdana"/>
              </a:defRPr>
            </a:lvl8pPr>
            <a:lvl9pPr marL="3657600" algn="l" defTabSz="914400" rtl="0" eaLnBrk="1" latinLnBrk="0" hangingPunct="1">
              <a:defRPr sz="1800" kern="1200">
                <a:solidFill>
                  <a:sysClr val="window" lastClr="FFFFFF"/>
                </a:solidFill>
                <a:latin typeface="Verdana"/>
              </a:defRPr>
            </a:lvl9pPr>
          </a:lstStyle>
          <a:p>
            <a:pPr algn="ctr"/>
            <a:r>
              <a:rPr lang="en-GB" sz="900" b="1"/>
              <a:t>Meta data </a:t>
            </a:r>
          </a:p>
          <a:p>
            <a:pPr algn="ctr"/>
            <a:r>
              <a:rPr lang="en-GB" sz="900"/>
              <a:t>Fill out in </a:t>
            </a:r>
            <a:r>
              <a:rPr lang="en-GB" sz="900" u="sng"/>
              <a:t>all</a:t>
            </a:r>
            <a:r>
              <a:rPr lang="en-GB" sz="900"/>
              <a:t> rows to use filters/slicers</a:t>
            </a:r>
          </a:p>
          <a:p>
            <a:pPr marL="171450" indent="-171450">
              <a:buFont typeface="Arial" panose="020B0604020202020204" pitchFamily="34" charset="0"/>
              <a:buChar char="•"/>
            </a:pPr>
            <a:r>
              <a:rPr lang="en-GB" sz="900"/>
              <a:t>BSC perspective and focus area</a:t>
            </a:r>
          </a:p>
          <a:p>
            <a:pPr marL="171450" indent="-171450">
              <a:buFont typeface="Arial" panose="020B0604020202020204" pitchFamily="34" charset="0"/>
              <a:buChar char="•"/>
            </a:pPr>
            <a:r>
              <a:rPr lang="en-GB" sz="900"/>
              <a:t>CSF type and Title</a:t>
            </a:r>
          </a:p>
        </xdr:txBody>
      </xdr:sp>
      <xdr:sp macro="" textlink="">
        <xdr:nvSpPr>
          <xdr:cNvPr id="38" name="TextBox 40">
            <a:extLst>
              <a:ext uri="{FF2B5EF4-FFF2-40B4-BE49-F238E27FC236}">
                <a16:creationId xmlns:a16="http://schemas.microsoft.com/office/drawing/2014/main" id="{00000000-0008-0000-0200-000026000000}"/>
              </a:ext>
            </a:extLst>
          </xdr:cNvPr>
          <xdr:cNvSpPr txBox="1"/>
        </xdr:nvSpPr>
        <xdr:spPr>
          <a:xfrm>
            <a:off x="7808486" y="1110633"/>
            <a:ext cx="277908" cy="277200"/>
          </a:xfrm>
          <a:prstGeom prst="ellipse">
            <a:avLst/>
          </a:prstGeom>
          <a:solidFill>
            <a:schemeClr val="accent2"/>
          </a:solidFill>
          <a:ln w="28575">
            <a:solidFill>
              <a:sysClr val="window" lastClr="FFFFFF"/>
            </a:solidFill>
          </a:ln>
          <a:effectLst>
            <a:outerShdw blurRad="50800" dist="38100" dir="2700000" algn="tl" rotWithShape="0">
              <a:prstClr val="black">
                <a:alpha val="40000"/>
              </a:prstClr>
            </a:outerShdw>
          </a:effectLst>
        </xdr:spPr>
        <xdr:txBody>
          <a:bodyPr wrap="square" lIns="0" tIns="0" rIns="0" bIns="0" rtlCol="0" anchor="ctr" anchorCtr="0">
            <a:noAutofit/>
          </a:bodyPr>
          <a:lstStyle>
            <a:defPPr>
              <a:defRPr lang="da-DK"/>
            </a:defPPr>
            <a:lvl1pPr marL="0" algn="l" defTabSz="914400" rtl="0" eaLnBrk="1" latinLnBrk="0" hangingPunct="1">
              <a:defRPr sz="1800" kern="1200">
                <a:solidFill>
                  <a:srgbClr val="000000"/>
                </a:solidFill>
                <a:latin typeface="Verdana"/>
              </a:defRPr>
            </a:lvl1pPr>
            <a:lvl2pPr marL="457200" algn="l" defTabSz="914400" rtl="0" eaLnBrk="1" latinLnBrk="0" hangingPunct="1">
              <a:defRPr sz="1800" kern="1200">
                <a:solidFill>
                  <a:srgbClr val="000000"/>
                </a:solidFill>
                <a:latin typeface="Verdana"/>
              </a:defRPr>
            </a:lvl2pPr>
            <a:lvl3pPr marL="914400" algn="l" defTabSz="914400" rtl="0" eaLnBrk="1" latinLnBrk="0" hangingPunct="1">
              <a:defRPr sz="1800" kern="1200">
                <a:solidFill>
                  <a:srgbClr val="000000"/>
                </a:solidFill>
                <a:latin typeface="Verdana"/>
              </a:defRPr>
            </a:lvl3pPr>
            <a:lvl4pPr marL="1371600" algn="l" defTabSz="914400" rtl="0" eaLnBrk="1" latinLnBrk="0" hangingPunct="1">
              <a:defRPr sz="1800" kern="1200">
                <a:solidFill>
                  <a:srgbClr val="000000"/>
                </a:solidFill>
                <a:latin typeface="Verdana"/>
              </a:defRPr>
            </a:lvl4pPr>
            <a:lvl5pPr marL="1828800" algn="l" defTabSz="914400" rtl="0" eaLnBrk="1" latinLnBrk="0" hangingPunct="1">
              <a:defRPr sz="1800" kern="1200">
                <a:solidFill>
                  <a:srgbClr val="000000"/>
                </a:solidFill>
                <a:latin typeface="Verdana"/>
              </a:defRPr>
            </a:lvl5pPr>
            <a:lvl6pPr marL="2286000" algn="l" defTabSz="914400" rtl="0" eaLnBrk="1" latinLnBrk="0" hangingPunct="1">
              <a:defRPr sz="1800" kern="1200">
                <a:solidFill>
                  <a:srgbClr val="000000"/>
                </a:solidFill>
                <a:latin typeface="Verdana"/>
              </a:defRPr>
            </a:lvl6pPr>
            <a:lvl7pPr marL="2743200" algn="l" defTabSz="914400" rtl="0" eaLnBrk="1" latinLnBrk="0" hangingPunct="1">
              <a:defRPr sz="1800" kern="1200">
                <a:solidFill>
                  <a:srgbClr val="000000"/>
                </a:solidFill>
                <a:latin typeface="Verdana"/>
              </a:defRPr>
            </a:lvl7pPr>
            <a:lvl8pPr marL="3200400" algn="l" defTabSz="914400" rtl="0" eaLnBrk="1" latinLnBrk="0" hangingPunct="1">
              <a:defRPr sz="1800" kern="1200">
                <a:solidFill>
                  <a:srgbClr val="000000"/>
                </a:solidFill>
                <a:latin typeface="Verdana"/>
              </a:defRPr>
            </a:lvl8pPr>
            <a:lvl9pPr marL="3657600" algn="l" defTabSz="914400" rtl="0" eaLnBrk="1" latinLnBrk="0" hangingPunct="1">
              <a:defRPr sz="1800" kern="1200">
                <a:solidFill>
                  <a:srgbClr val="000000"/>
                </a:solidFill>
                <a:latin typeface="Verdana"/>
              </a:defRPr>
            </a:lvl9pPr>
          </a:lstStyle>
          <a:p>
            <a:pPr algn="ctr"/>
            <a:r>
              <a:rPr lang="en-GB" sz="1400" b="1">
                <a:solidFill>
                  <a:schemeClr val="bg1"/>
                </a:solidFill>
              </a:rPr>
              <a:t>1</a:t>
            </a:r>
          </a:p>
        </xdr:txBody>
      </xdr:sp>
    </xdr:grpSp>
    <xdr:clientData/>
  </xdr:twoCellAnchor>
  <xdr:twoCellAnchor>
    <xdr:from>
      <xdr:col>1</xdr:col>
      <xdr:colOff>367940</xdr:colOff>
      <xdr:row>15</xdr:row>
      <xdr:rowOff>20687</xdr:rowOff>
    </xdr:from>
    <xdr:to>
      <xdr:col>2</xdr:col>
      <xdr:colOff>56661</xdr:colOff>
      <xdr:row>20</xdr:row>
      <xdr:rowOff>93198</xdr:rowOff>
    </xdr:to>
    <xdr:sp macro="" textlink="">
      <xdr:nvSpPr>
        <xdr:cNvPr id="63" name="Rectangle 62">
          <a:extLst>
            <a:ext uri="{FF2B5EF4-FFF2-40B4-BE49-F238E27FC236}">
              <a16:creationId xmlns:a16="http://schemas.microsoft.com/office/drawing/2014/main" id="{00000000-0008-0000-0200-00003F000000}"/>
            </a:ext>
          </a:extLst>
        </xdr:cNvPr>
        <xdr:cNvSpPr/>
      </xdr:nvSpPr>
      <xdr:spPr>
        <a:xfrm>
          <a:off x="1037264" y="3135619"/>
          <a:ext cx="293688" cy="1037883"/>
        </a:xfrm>
        <a:prstGeom prst="rect">
          <a:avLst/>
        </a:prstGeom>
        <a:noFill/>
        <a:ln w="38100" cap="flat" cmpd="sng" algn="ctr">
          <a:solidFill>
            <a:schemeClr val="accent2"/>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a-DK"/>
          </a:defPPr>
          <a:lvl1pPr marL="0" algn="l" defTabSz="914400" rtl="0" eaLnBrk="1" latinLnBrk="0" hangingPunct="1">
            <a:defRPr sz="1800" kern="1200">
              <a:solidFill>
                <a:sysClr val="window" lastClr="FFFFFF"/>
              </a:solidFill>
              <a:latin typeface="Verdana"/>
            </a:defRPr>
          </a:lvl1pPr>
          <a:lvl2pPr marL="457200" algn="l" defTabSz="914400" rtl="0" eaLnBrk="1" latinLnBrk="0" hangingPunct="1">
            <a:defRPr sz="1800" kern="1200">
              <a:solidFill>
                <a:sysClr val="window" lastClr="FFFFFF"/>
              </a:solidFill>
              <a:latin typeface="Verdana"/>
            </a:defRPr>
          </a:lvl2pPr>
          <a:lvl3pPr marL="914400" algn="l" defTabSz="914400" rtl="0" eaLnBrk="1" latinLnBrk="0" hangingPunct="1">
            <a:defRPr sz="1800" kern="1200">
              <a:solidFill>
                <a:sysClr val="window" lastClr="FFFFFF"/>
              </a:solidFill>
              <a:latin typeface="Verdana"/>
            </a:defRPr>
          </a:lvl3pPr>
          <a:lvl4pPr marL="1371600" algn="l" defTabSz="914400" rtl="0" eaLnBrk="1" latinLnBrk="0" hangingPunct="1">
            <a:defRPr sz="1800" kern="1200">
              <a:solidFill>
                <a:sysClr val="window" lastClr="FFFFFF"/>
              </a:solidFill>
              <a:latin typeface="Verdana"/>
            </a:defRPr>
          </a:lvl4pPr>
          <a:lvl5pPr marL="1828800" algn="l" defTabSz="914400" rtl="0" eaLnBrk="1" latinLnBrk="0" hangingPunct="1">
            <a:defRPr sz="1800" kern="1200">
              <a:solidFill>
                <a:sysClr val="window" lastClr="FFFFFF"/>
              </a:solidFill>
              <a:latin typeface="Verdana"/>
            </a:defRPr>
          </a:lvl5pPr>
          <a:lvl6pPr marL="2286000" algn="l" defTabSz="914400" rtl="0" eaLnBrk="1" latinLnBrk="0" hangingPunct="1">
            <a:defRPr sz="1800" kern="1200">
              <a:solidFill>
                <a:sysClr val="window" lastClr="FFFFFF"/>
              </a:solidFill>
              <a:latin typeface="Verdana"/>
            </a:defRPr>
          </a:lvl6pPr>
          <a:lvl7pPr marL="2743200" algn="l" defTabSz="914400" rtl="0" eaLnBrk="1" latinLnBrk="0" hangingPunct="1">
            <a:defRPr sz="1800" kern="1200">
              <a:solidFill>
                <a:sysClr val="window" lastClr="FFFFFF"/>
              </a:solidFill>
              <a:latin typeface="Verdana"/>
            </a:defRPr>
          </a:lvl7pPr>
          <a:lvl8pPr marL="3200400" algn="l" defTabSz="914400" rtl="0" eaLnBrk="1" latinLnBrk="0" hangingPunct="1">
            <a:defRPr sz="1800" kern="1200">
              <a:solidFill>
                <a:sysClr val="window" lastClr="FFFFFF"/>
              </a:solidFill>
              <a:latin typeface="Verdana"/>
            </a:defRPr>
          </a:lvl8pPr>
          <a:lvl9pPr marL="3657600" algn="l" defTabSz="914400" rtl="0" eaLnBrk="1" latinLnBrk="0" hangingPunct="1">
            <a:defRPr sz="1800" kern="1200">
              <a:solidFill>
                <a:sysClr val="window" lastClr="FFFFFF"/>
              </a:solidFill>
              <a:latin typeface="Verdana"/>
            </a:defRPr>
          </a:lvl9pPr>
        </a:lstStyle>
        <a:p>
          <a:pPr algn="ctr"/>
          <a:endParaRPr lang="en-GB"/>
        </a:p>
      </xdr:txBody>
    </xdr:sp>
    <xdr:clientData/>
  </xdr:twoCellAnchor>
  <xdr:twoCellAnchor>
    <xdr:from>
      <xdr:col>9</xdr:col>
      <xdr:colOff>319235</xdr:colOff>
      <xdr:row>15</xdr:row>
      <xdr:rowOff>43334</xdr:rowOff>
    </xdr:from>
    <xdr:to>
      <xdr:col>14</xdr:col>
      <xdr:colOff>534919</xdr:colOff>
      <xdr:row>20</xdr:row>
      <xdr:rowOff>115845</xdr:rowOff>
    </xdr:to>
    <xdr:sp macro="" textlink="">
      <xdr:nvSpPr>
        <xdr:cNvPr id="64" name="Rectangle 63">
          <a:extLst>
            <a:ext uri="{FF2B5EF4-FFF2-40B4-BE49-F238E27FC236}">
              <a16:creationId xmlns:a16="http://schemas.microsoft.com/office/drawing/2014/main" id="{00000000-0008-0000-0200-000040000000}"/>
            </a:ext>
          </a:extLst>
        </xdr:cNvPr>
        <xdr:cNvSpPr/>
      </xdr:nvSpPr>
      <xdr:spPr>
        <a:xfrm>
          <a:off x="5828289" y="3158266"/>
          <a:ext cx="3240515" cy="1037883"/>
        </a:xfrm>
        <a:prstGeom prst="rect">
          <a:avLst/>
        </a:prstGeom>
        <a:noFill/>
        <a:ln w="38100" cap="flat" cmpd="sng" algn="ctr">
          <a:solidFill>
            <a:schemeClr val="accent2"/>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a-DK"/>
          </a:defPPr>
          <a:lvl1pPr marL="0" algn="l" defTabSz="914400" rtl="0" eaLnBrk="1" latinLnBrk="0" hangingPunct="1">
            <a:defRPr sz="1800" kern="1200">
              <a:solidFill>
                <a:sysClr val="window" lastClr="FFFFFF"/>
              </a:solidFill>
              <a:latin typeface="Verdana"/>
            </a:defRPr>
          </a:lvl1pPr>
          <a:lvl2pPr marL="457200" algn="l" defTabSz="914400" rtl="0" eaLnBrk="1" latinLnBrk="0" hangingPunct="1">
            <a:defRPr sz="1800" kern="1200">
              <a:solidFill>
                <a:sysClr val="window" lastClr="FFFFFF"/>
              </a:solidFill>
              <a:latin typeface="Verdana"/>
            </a:defRPr>
          </a:lvl2pPr>
          <a:lvl3pPr marL="914400" algn="l" defTabSz="914400" rtl="0" eaLnBrk="1" latinLnBrk="0" hangingPunct="1">
            <a:defRPr sz="1800" kern="1200">
              <a:solidFill>
                <a:sysClr val="window" lastClr="FFFFFF"/>
              </a:solidFill>
              <a:latin typeface="Verdana"/>
            </a:defRPr>
          </a:lvl3pPr>
          <a:lvl4pPr marL="1371600" algn="l" defTabSz="914400" rtl="0" eaLnBrk="1" latinLnBrk="0" hangingPunct="1">
            <a:defRPr sz="1800" kern="1200">
              <a:solidFill>
                <a:sysClr val="window" lastClr="FFFFFF"/>
              </a:solidFill>
              <a:latin typeface="Verdana"/>
            </a:defRPr>
          </a:lvl4pPr>
          <a:lvl5pPr marL="1828800" algn="l" defTabSz="914400" rtl="0" eaLnBrk="1" latinLnBrk="0" hangingPunct="1">
            <a:defRPr sz="1800" kern="1200">
              <a:solidFill>
                <a:sysClr val="window" lastClr="FFFFFF"/>
              </a:solidFill>
              <a:latin typeface="Verdana"/>
            </a:defRPr>
          </a:lvl5pPr>
          <a:lvl6pPr marL="2286000" algn="l" defTabSz="914400" rtl="0" eaLnBrk="1" latinLnBrk="0" hangingPunct="1">
            <a:defRPr sz="1800" kern="1200">
              <a:solidFill>
                <a:sysClr val="window" lastClr="FFFFFF"/>
              </a:solidFill>
              <a:latin typeface="Verdana"/>
            </a:defRPr>
          </a:lvl6pPr>
          <a:lvl7pPr marL="2743200" algn="l" defTabSz="914400" rtl="0" eaLnBrk="1" latinLnBrk="0" hangingPunct="1">
            <a:defRPr sz="1800" kern="1200">
              <a:solidFill>
                <a:sysClr val="window" lastClr="FFFFFF"/>
              </a:solidFill>
              <a:latin typeface="Verdana"/>
            </a:defRPr>
          </a:lvl7pPr>
          <a:lvl8pPr marL="3200400" algn="l" defTabSz="914400" rtl="0" eaLnBrk="1" latinLnBrk="0" hangingPunct="1">
            <a:defRPr sz="1800" kern="1200">
              <a:solidFill>
                <a:sysClr val="window" lastClr="FFFFFF"/>
              </a:solidFill>
              <a:latin typeface="Verdana"/>
            </a:defRPr>
          </a:lvl8pPr>
          <a:lvl9pPr marL="3657600" algn="l" defTabSz="914400" rtl="0" eaLnBrk="1" latinLnBrk="0" hangingPunct="1">
            <a:defRPr sz="1800" kern="1200">
              <a:solidFill>
                <a:sysClr val="window" lastClr="FFFFFF"/>
              </a:solidFill>
              <a:latin typeface="Verdana"/>
            </a:defRPr>
          </a:lvl9pPr>
        </a:lstStyle>
        <a:p>
          <a:pPr algn="ctr"/>
          <a:endParaRPr lang="en-GB"/>
        </a:p>
      </xdr:txBody>
    </xdr:sp>
    <xdr:clientData/>
  </xdr:twoCellAnchor>
  <xdr:twoCellAnchor>
    <xdr:from>
      <xdr:col>2</xdr:col>
      <xdr:colOff>56661</xdr:colOff>
      <xdr:row>17</xdr:row>
      <xdr:rowOff>76248</xdr:rowOff>
    </xdr:from>
    <xdr:to>
      <xdr:col>9</xdr:col>
      <xdr:colOff>319235</xdr:colOff>
      <xdr:row>17</xdr:row>
      <xdr:rowOff>98895</xdr:rowOff>
    </xdr:to>
    <xdr:cxnSp macro="">
      <xdr:nvCxnSpPr>
        <xdr:cNvPr id="65" name="Straight Arrow Connector 64">
          <a:extLst>
            <a:ext uri="{FF2B5EF4-FFF2-40B4-BE49-F238E27FC236}">
              <a16:creationId xmlns:a16="http://schemas.microsoft.com/office/drawing/2014/main" id="{00000000-0008-0000-0200-000041000000}"/>
            </a:ext>
          </a:extLst>
        </xdr:cNvPr>
        <xdr:cNvCxnSpPr/>
      </xdr:nvCxnSpPr>
      <xdr:spPr>
        <a:xfrm flipH="1" flipV="1">
          <a:off x="1330952" y="3577329"/>
          <a:ext cx="4497337" cy="22647"/>
        </a:xfrm>
        <a:prstGeom prst="straightConnector1">
          <a:avLst/>
        </a:prstGeom>
        <a:noFill/>
        <a:ln w="38100" cap="flat" cmpd="sng" algn="ctr">
          <a:solidFill>
            <a:schemeClr val="accent2"/>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382419</xdr:colOff>
      <xdr:row>14</xdr:row>
      <xdr:rowOff>187695</xdr:rowOff>
    </xdr:from>
    <xdr:to>
      <xdr:col>18</xdr:col>
      <xdr:colOff>527735</xdr:colOff>
      <xdr:row>20</xdr:row>
      <xdr:rowOff>111464</xdr:rowOff>
    </xdr:to>
    <xdr:grpSp>
      <xdr:nvGrpSpPr>
        <xdr:cNvPr id="44" name="Group 43">
          <a:extLst>
            <a:ext uri="{FF2B5EF4-FFF2-40B4-BE49-F238E27FC236}">
              <a16:creationId xmlns:a16="http://schemas.microsoft.com/office/drawing/2014/main" id="{00000000-0008-0000-0200-00002C000000}"/>
            </a:ext>
          </a:extLst>
        </xdr:cNvPr>
        <xdr:cNvGrpSpPr/>
      </xdr:nvGrpSpPr>
      <xdr:grpSpPr>
        <a:xfrm>
          <a:off x="9021180" y="3078325"/>
          <a:ext cx="2596968" cy="1066769"/>
          <a:chOff x="10114626" y="2304690"/>
          <a:chExt cx="2702527" cy="1068212"/>
        </a:xfrm>
      </xdr:grpSpPr>
      <xdr:sp macro="" textlink="">
        <xdr:nvSpPr>
          <xdr:cNvPr id="36" name="Rounded Rectangle 35">
            <a:extLst>
              <a:ext uri="{FF2B5EF4-FFF2-40B4-BE49-F238E27FC236}">
                <a16:creationId xmlns:a16="http://schemas.microsoft.com/office/drawing/2014/main" id="{00000000-0008-0000-0200-000024000000}"/>
              </a:ext>
            </a:extLst>
          </xdr:cNvPr>
          <xdr:cNvSpPr/>
        </xdr:nvSpPr>
        <xdr:spPr>
          <a:xfrm>
            <a:off x="10234821" y="2453338"/>
            <a:ext cx="2582332" cy="919564"/>
          </a:xfrm>
          <a:prstGeom prst="roundRect">
            <a:avLst/>
          </a:prstGeom>
          <a:solidFill>
            <a:schemeClr val="accent2"/>
          </a:solidFill>
          <a:ln w="10795"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a-DK"/>
            </a:defPPr>
            <a:lvl1pPr marL="0" algn="l" defTabSz="914400" rtl="0" eaLnBrk="1" latinLnBrk="0" hangingPunct="1">
              <a:defRPr sz="1800" kern="1200">
                <a:solidFill>
                  <a:sysClr val="window" lastClr="FFFFFF"/>
                </a:solidFill>
                <a:latin typeface="Verdana"/>
              </a:defRPr>
            </a:lvl1pPr>
            <a:lvl2pPr marL="457200" algn="l" defTabSz="914400" rtl="0" eaLnBrk="1" latinLnBrk="0" hangingPunct="1">
              <a:defRPr sz="1800" kern="1200">
                <a:solidFill>
                  <a:sysClr val="window" lastClr="FFFFFF"/>
                </a:solidFill>
                <a:latin typeface="Verdana"/>
              </a:defRPr>
            </a:lvl2pPr>
            <a:lvl3pPr marL="914400" algn="l" defTabSz="914400" rtl="0" eaLnBrk="1" latinLnBrk="0" hangingPunct="1">
              <a:defRPr sz="1800" kern="1200">
                <a:solidFill>
                  <a:sysClr val="window" lastClr="FFFFFF"/>
                </a:solidFill>
                <a:latin typeface="Verdana"/>
              </a:defRPr>
            </a:lvl3pPr>
            <a:lvl4pPr marL="1371600" algn="l" defTabSz="914400" rtl="0" eaLnBrk="1" latinLnBrk="0" hangingPunct="1">
              <a:defRPr sz="1800" kern="1200">
                <a:solidFill>
                  <a:sysClr val="window" lastClr="FFFFFF"/>
                </a:solidFill>
                <a:latin typeface="Verdana"/>
              </a:defRPr>
            </a:lvl4pPr>
            <a:lvl5pPr marL="1828800" algn="l" defTabSz="914400" rtl="0" eaLnBrk="1" latinLnBrk="0" hangingPunct="1">
              <a:defRPr sz="1800" kern="1200">
                <a:solidFill>
                  <a:sysClr val="window" lastClr="FFFFFF"/>
                </a:solidFill>
                <a:latin typeface="Verdana"/>
              </a:defRPr>
            </a:lvl5pPr>
            <a:lvl6pPr marL="2286000" algn="l" defTabSz="914400" rtl="0" eaLnBrk="1" latinLnBrk="0" hangingPunct="1">
              <a:defRPr sz="1800" kern="1200">
                <a:solidFill>
                  <a:sysClr val="window" lastClr="FFFFFF"/>
                </a:solidFill>
                <a:latin typeface="Verdana"/>
              </a:defRPr>
            </a:lvl6pPr>
            <a:lvl7pPr marL="2743200" algn="l" defTabSz="914400" rtl="0" eaLnBrk="1" latinLnBrk="0" hangingPunct="1">
              <a:defRPr sz="1800" kern="1200">
                <a:solidFill>
                  <a:sysClr val="window" lastClr="FFFFFF"/>
                </a:solidFill>
                <a:latin typeface="Verdana"/>
              </a:defRPr>
            </a:lvl7pPr>
            <a:lvl8pPr marL="3200400" algn="l" defTabSz="914400" rtl="0" eaLnBrk="1" latinLnBrk="0" hangingPunct="1">
              <a:defRPr sz="1800" kern="1200">
                <a:solidFill>
                  <a:sysClr val="window" lastClr="FFFFFF"/>
                </a:solidFill>
                <a:latin typeface="Verdana"/>
              </a:defRPr>
            </a:lvl8pPr>
            <a:lvl9pPr marL="3657600" algn="l" defTabSz="914400" rtl="0" eaLnBrk="1" latinLnBrk="0" hangingPunct="1">
              <a:defRPr sz="1800" kern="1200">
                <a:solidFill>
                  <a:sysClr val="window" lastClr="FFFFFF"/>
                </a:solidFill>
                <a:latin typeface="Verdana"/>
              </a:defRPr>
            </a:lvl9pPr>
          </a:lstStyle>
          <a:p>
            <a:r>
              <a:rPr lang="en-GB" sz="900" b="1"/>
              <a:t>Creating actions for CSF</a:t>
            </a:r>
          </a:p>
          <a:p>
            <a:r>
              <a:rPr lang="en-GB" sz="900"/>
              <a:t>Example: #4 </a:t>
            </a:r>
            <a:r>
              <a:rPr lang="en-GB" sz="900" i="1"/>
              <a:t>Implement DM</a:t>
            </a:r>
            <a:r>
              <a:rPr lang="en-GB" sz="900" i="1" baseline="0"/>
              <a:t> 3.0</a:t>
            </a:r>
            <a:r>
              <a:rPr lang="en-GB" sz="900"/>
              <a:t> </a:t>
            </a:r>
          </a:p>
          <a:p>
            <a:pPr marL="171450" indent="-171450">
              <a:buFont typeface="Arial" panose="020B0604020202020204" pitchFamily="34" charset="0"/>
              <a:buChar char="•"/>
            </a:pPr>
            <a:r>
              <a:rPr lang="en-GB" sz="900"/>
              <a:t>Actions indicated with 4.1, 4.2 etc.</a:t>
            </a:r>
          </a:p>
          <a:p>
            <a:pPr marL="171450" indent="-171450">
              <a:buFont typeface="Arial" panose="020B0604020202020204" pitchFamily="34" charset="0"/>
              <a:buChar char="•"/>
            </a:pPr>
            <a:r>
              <a:rPr lang="en-GB" sz="900"/>
              <a:t>Sub-actions indicated with 4</a:t>
            </a:r>
            <a:r>
              <a:rPr lang="en-GB" sz="900" u="sng"/>
              <a:t>.1.1</a:t>
            </a:r>
            <a:r>
              <a:rPr lang="en-GB" sz="900"/>
              <a:t>, 4</a:t>
            </a:r>
            <a:r>
              <a:rPr lang="en-GB" sz="900" u="sng"/>
              <a:t>.1.2</a:t>
            </a:r>
            <a:r>
              <a:rPr lang="en-GB" sz="900"/>
              <a:t> etc.</a:t>
            </a:r>
          </a:p>
        </xdr:txBody>
      </xdr:sp>
      <xdr:sp macro="" textlink="">
        <xdr:nvSpPr>
          <xdr:cNvPr id="40" name="TextBox 42">
            <a:extLst>
              <a:ext uri="{FF2B5EF4-FFF2-40B4-BE49-F238E27FC236}">
                <a16:creationId xmlns:a16="http://schemas.microsoft.com/office/drawing/2014/main" id="{00000000-0008-0000-0200-000028000000}"/>
              </a:ext>
            </a:extLst>
          </xdr:cNvPr>
          <xdr:cNvSpPr txBox="1"/>
        </xdr:nvSpPr>
        <xdr:spPr>
          <a:xfrm>
            <a:off x="10114626" y="2304690"/>
            <a:ext cx="290513" cy="288627"/>
          </a:xfrm>
          <a:prstGeom prst="ellipse">
            <a:avLst/>
          </a:prstGeom>
          <a:solidFill>
            <a:schemeClr val="accent2"/>
          </a:solidFill>
          <a:ln w="28575">
            <a:solidFill>
              <a:sysClr val="window" lastClr="FFFFFF"/>
            </a:solidFill>
          </a:ln>
          <a:effectLst>
            <a:outerShdw blurRad="50800" dist="38100" dir="2700000" algn="tl" rotWithShape="0">
              <a:prstClr val="black">
                <a:alpha val="40000"/>
              </a:prstClr>
            </a:outerShdw>
          </a:effectLst>
        </xdr:spPr>
        <xdr:txBody>
          <a:bodyPr wrap="square" lIns="0" tIns="0" rIns="0" bIns="0" rtlCol="0" anchor="ctr" anchorCtr="0">
            <a:noAutofit/>
          </a:bodyPr>
          <a:lstStyle>
            <a:defPPr>
              <a:defRPr lang="da-DK"/>
            </a:defPPr>
            <a:lvl1pPr marL="0" algn="l" defTabSz="914400" rtl="0" eaLnBrk="1" latinLnBrk="0" hangingPunct="1">
              <a:defRPr sz="1800" kern="1200">
                <a:solidFill>
                  <a:srgbClr val="000000"/>
                </a:solidFill>
                <a:latin typeface="Verdana"/>
              </a:defRPr>
            </a:lvl1pPr>
            <a:lvl2pPr marL="457200" algn="l" defTabSz="914400" rtl="0" eaLnBrk="1" latinLnBrk="0" hangingPunct="1">
              <a:defRPr sz="1800" kern="1200">
                <a:solidFill>
                  <a:srgbClr val="000000"/>
                </a:solidFill>
                <a:latin typeface="Verdana"/>
              </a:defRPr>
            </a:lvl2pPr>
            <a:lvl3pPr marL="914400" algn="l" defTabSz="914400" rtl="0" eaLnBrk="1" latinLnBrk="0" hangingPunct="1">
              <a:defRPr sz="1800" kern="1200">
                <a:solidFill>
                  <a:srgbClr val="000000"/>
                </a:solidFill>
                <a:latin typeface="Verdana"/>
              </a:defRPr>
            </a:lvl3pPr>
            <a:lvl4pPr marL="1371600" algn="l" defTabSz="914400" rtl="0" eaLnBrk="1" latinLnBrk="0" hangingPunct="1">
              <a:defRPr sz="1800" kern="1200">
                <a:solidFill>
                  <a:srgbClr val="000000"/>
                </a:solidFill>
                <a:latin typeface="Verdana"/>
              </a:defRPr>
            </a:lvl4pPr>
            <a:lvl5pPr marL="1828800" algn="l" defTabSz="914400" rtl="0" eaLnBrk="1" latinLnBrk="0" hangingPunct="1">
              <a:defRPr sz="1800" kern="1200">
                <a:solidFill>
                  <a:srgbClr val="000000"/>
                </a:solidFill>
                <a:latin typeface="Verdana"/>
              </a:defRPr>
            </a:lvl5pPr>
            <a:lvl6pPr marL="2286000" algn="l" defTabSz="914400" rtl="0" eaLnBrk="1" latinLnBrk="0" hangingPunct="1">
              <a:defRPr sz="1800" kern="1200">
                <a:solidFill>
                  <a:srgbClr val="000000"/>
                </a:solidFill>
                <a:latin typeface="Verdana"/>
              </a:defRPr>
            </a:lvl6pPr>
            <a:lvl7pPr marL="2743200" algn="l" defTabSz="914400" rtl="0" eaLnBrk="1" latinLnBrk="0" hangingPunct="1">
              <a:defRPr sz="1800" kern="1200">
                <a:solidFill>
                  <a:srgbClr val="000000"/>
                </a:solidFill>
                <a:latin typeface="Verdana"/>
              </a:defRPr>
            </a:lvl7pPr>
            <a:lvl8pPr marL="3200400" algn="l" defTabSz="914400" rtl="0" eaLnBrk="1" latinLnBrk="0" hangingPunct="1">
              <a:defRPr sz="1800" kern="1200">
                <a:solidFill>
                  <a:srgbClr val="000000"/>
                </a:solidFill>
                <a:latin typeface="Verdana"/>
              </a:defRPr>
            </a:lvl8pPr>
            <a:lvl9pPr marL="3657600" algn="l" defTabSz="914400" rtl="0" eaLnBrk="1" latinLnBrk="0" hangingPunct="1">
              <a:defRPr sz="1800" kern="1200">
                <a:solidFill>
                  <a:srgbClr val="000000"/>
                </a:solidFill>
                <a:latin typeface="Verdana"/>
              </a:defRPr>
            </a:lvl9pPr>
          </a:lstStyle>
          <a:p>
            <a:pPr algn="ctr"/>
            <a:r>
              <a:rPr lang="en-GB" sz="1400" b="1">
                <a:solidFill>
                  <a:schemeClr val="bg1"/>
                </a:solidFill>
              </a:rPr>
              <a:t>3</a:t>
            </a:r>
          </a:p>
        </xdr:txBody>
      </xdr:sp>
    </xdr:grpSp>
    <xdr:clientData/>
  </xdr:twoCellAnchor>
  <xdr:twoCellAnchor editAs="oneCell">
    <xdr:from>
      <xdr:col>1</xdr:col>
      <xdr:colOff>176599</xdr:colOff>
      <xdr:row>30</xdr:row>
      <xdr:rowOff>33226</xdr:rowOff>
    </xdr:from>
    <xdr:to>
      <xdr:col>20</xdr:col>
      <xdr:colOff>389126</xdr:colOff>
      <xdr:row>43</xdr:row>
      <xdr:rowOff>105101</xdr:rowOff>
    </xdr:to>
    <xdr:pic>
      <xdr:nvPicPr>
        <xdr:cNvPr id="75" name="Picture 74">
          <a:extLst>
            <a:ext uri="{FF2B5EF4-FFF2-40B4-BE49-F238E27FC236}">
              <a16:creationId xmlns:a16="http://schemas.microsoft.com/office/drawing/2014/main" id="{00000000-0008-0000-0200-00004B000000}"/>
            </a:ext>
          </a:extLst>
        </xdr:cNvPr>
        <xdr:cNvPicPr>
          <a:picLocks noChangeAspect="1"/>
        </xdr:cNvPicPr>
      </xdr:nvPicPr>
      <xdr:blipFill rotWithShape="1">
        <a:blip xmlns:r="http://schemas.openxmlformats.org/officeDocument/2006/relationships" r:embed="rId3"/>
        <a:srcRect t="39715"/>
        <a:stretch/>
      </xdr:blipFill>
      <xdr:spPr>
        <a:xfrm>
          <a:off x="841134" y="5914360"/>
          <a:ext cx="11786509" cy="2519578"/>
        </a:xfrm>
        <a:prstGeom prst="rect">
          <a:avLst/>
        </a:prstGeom>
      </xdr:spPr>
    </xdr:pic>
    <xdr:clientData/>
  </xdr:twoCellAnchor>
  <xdr:twoCellAnchor>
    <xdr:from>
      <xdr:col>17</xdr:col>
      <xdr:colOff>44302</xdr:colOff>
      <xdr:row>25</xdr:row>
      <xdr:rowOff>6012</xdr:rowOff>
    </xdr:from>
    <xdr:to>
      <xdr:col>23</xdr:col>
      <xdr:colOff>61019</xdr:colOff>
      <xdr:row>30</xdr:row>
      <xdr:rowOff>88605</xdr:rowOff>
    </xdr:to>
    <xdr:sp macro="" textlink="">
      <xdr:nvSpPr>
        <xdr:cNvPr id="71" name="Rectangle 70">
          <a:extLst>
            <a:ext uri="{FF2B5EF4-FFF2-40B4-BE49-F238E27FC236}">
              <a16:creationId xmlns:a16="http://schemas.microsoft.com/office/drawing/2014/main" id="{00000000-0008-0000-0200-000047000000}"/>
            </a:ext>
          </a:extLst>
        </xdr:cNvPr>
        <xdr:cNvSpPr/>
      </xdr:nvSpPr>
      <xdr:spPr>
        <a:xfrm>
          <a:off x="10455349" y="4945721"/>
          <a:ext cx="3671658" cy="1024018"/>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Verdana" panose="020B0604030504040204" pitchFamily="34" charset="0"/>
              <a:ea typeface="Verdana" panose="020B0604030504040204" pitchFamily="34" charset="0"/>
              <a:cs typeface="Verdana" panose="020B0604030504040204" pitchFamily="34" charset="0"/>
            </a:rPr>
            <a:t>Use the </a:t>
          </a:r>
          <a:r>
            <a:rPr lang="en-US" sz="1100" b="1" i="1">
              <a:latin typeface="Verdana" panose="020B0604030504040204" pitchFamily="34" charset="0"/>
              <a:ea typeface="Verdana" panose="020B0604030504040204" pitchFamily="34" charset="0"/>
              <a:cs typeface="Verdana" panose="020B0604030504040204" pitchFamily="34" charset="0"/>
            </a:rPr>
            <a:t>High-level overview </a:t>
          </a:r>
          <a:r>
            <a:rPr lang="en-US" sz="1100" b="1">
              <a:latin typeface="Verdana" panose="020B0604030504040204" pitchFamily="34" charset="0"/>
              <a:ea typeface="Verdana" panose="020B0604030504040204" pitchFamily="34" charset="0"/>
              <a:cs typeface="Verdana" panose="020B0604030504040204" pitchFamily="34" charset="0"/>
            </a:rPr>
            <a:t>sheet to:</a:t>
          </a:r>
        </a:p>
        <a:p>
          <a:pPr algn="l"/>
          <a:r>
            <a:rPr lang="en-US" sz="1100">
              <a:latin typeface="Verdana" panose="020B0604030504040204" pitchFamily="34" charset="0"/>
              <a:ea typeface="Verdana" panose="020B0604030504040204" pitchFamily="34" charset="0"/>
              <a:cs typeface="Verdana" panose="020B0604030504040204" pitchFamily="34" charset="0"/>
            </a:rPr>
            <a:t>- Have</a:t>
          </a:r>
          <a:r>
            <a:rPr lang="en-US" sz="1100" baseline="0">
              <a:latin typeface="Verdana" panose="020B0604030504040204" pitchFamily="34" charset="0"/>
              <a:ea typeface="Verdana" panose="020B0604030504040204" pitchFamily="34" charset="0"/>
              <a:cs typeface="Verdana" panose="020B0604030504040204" pitchFamily="34" charset="0"/>
            </a:rPr>
            <a:t> an auto-updated </a:t>
          </a:r>
          <a:r>
            <a:rPr lang="en-US" sz="1100">
              <a:latin typeface="Verdana" panose="020B0604030504040204" pitchFamily="34" charset="0"/>
              <a:ea typeface="Verdana" panose="020B0604030504040204" pitchFamily="34" charset="0"/>
              <a:cs typeface="Verdana" panose="020B0604030504040204" pitchFamily="34" charset="0"/>
            </a:rPr>
            <a:t>overview of CSFs </a:t>
          </a:r>
        </a:p>
        <a:p>
          <a:pPr algn="l"/>
          <a:r>
            <a:rPr lang="en-US" sz="1100">
              <a:latin typeface="Verdana" panose="020B0604030504040204" pitchFamily="34" charset="0"/>
              <a:ea typeface="Verdana" panose="020B0604030504040204" pitchFamily="34" charset="0"/>
              <a:cs typeface="Verdana" panose="020B0604030504040204" pitchFamily="34" charset="0"/>
            </a:rPr>
            <a:t>- Ongoing follow-up</a:t>
          </a:r>
          <a:r>
            <a:rPr lang="en-US" sz="1100" baseline="0">
              <a:latin typeface="Verdana" panose="020B0604030504040204" pitchFamily="34" charset="0"/>
              <a:ea typeface="Verdana" panose="020B0604030504040204" pitchFamily="34" charset="0"/>
              <a:cs typeface="Verdana" panose="020B0604030504040204" pitchFamily="34" charset="0"/>
            </a:rPr>
            <a:t> on status</a:t>
          </a:r>
        </a:p>
        <a:p>
          <a:pPr algn="l"/>
          <a:r>
            <a:rPr lang="en-US" sz="1100" b="1" baseline="0">
              <a:latin typeface="Verdana" panose="020B0604030504040204" pitchFamily="34" charset="0"/>
              <a:ea typeface="Verdana" panose="020B0604030504040204" pitchFamily="34" charset="0"/>
              <a:cs typeface="Verdana" panose="020B0604030504040204" pitchFamily="34" charset="0"/>
            </a:rPr>
            <a:t>OBS: </a:t>
          </a:r>
          <a:r>
            <a:rPr lang="en-US" sz="1100" i="1" baseline="0">
              <a:latin typeface="Verdana" panose="020B0604030504040204" pitchFamily="34" charset="0"/>
              <a:ea typeface="Verdana" panose="020B0604030504040204" pitchFamily="34" charset="0"/>
              <a:cs typeface="Verdana" panose="020B0604030504040204" pitchFamily="34" charset="0"/>
            </a:rPr>
            <a:t>High-level overview </a:t>
          </a:r>
          <a:r>
            <a:rPr lang="en-US" sz="1100" i="0" baseline="0">
              <a:latin typeface="Verdana" panose="020B0604030504040204" pitchFamily="34" charset="0"/>
              <a:ea typeface="Verdana" panose="020B0604030504040204" pitchFamily="34" charset="0"/>
              <a:cs typeface="Verdana" panose="020B0604030504040204" pitchFamily="34" charset="0"/>
            </a:rPr>
            <a:t>is automatically updated based on </a:t>
          </a:r>
          <a:r>
            <a:rPr lang="en-US" sz="1100" i="1" baseline="0">
              <a:latin typeface="Verdana" panose="020B0604030504040204" pitchFamily="34" charset="0"/>
              <a:ea typeface="Verdana" panose="020B0604030504040204" pitchFamily="34" charset="0"/>
              <a:cs typeface="Verdana" panose="020B0604030504040204" pitchFamily="34" charset="0"/>
            </a:rPr>
            <a:t>BP Actions</a:t>
          </a:r>
          <a:r>
            <a:rPr lang="en-US" sz="1100" i="0" baseline="0">
              <a:latin typeface="Verdana" panose="020B0604030504040204" pitchFamily="34" charset="0"/>
              <a:ea typeface="Verdana" panose="020B0604030504040204" pitchFamily="34" charset="0"/>
              <a:cs typeface="Verdana" panose="020B0604030504040204" pitchFamily="34" charset="0"/>
            </a:rPr>
            <a:t> sheet</a:t>
          </a:r>
          <a:endParaRPr lang="en-US" sz="1100">
            <a:latin typeface="Verdana" panose="020B0604030504040204" pitchFamily="34" charset="0"/>
            <a:ea typeface="Verdana" panose="020B0604030504040204" pitchFamily="34" charset="0"/>
            <a:cs typeface="Verdana" panose="020B0604030504040204" pitchFamily="34" charset="0"/>
          </a:endParaRPr>
        </a:p>
      </xdr:txBody>
    </xdr:sp>
    <xdr:clientData/>
  </xdr:twoCellAnchor>
  <xdr:twoCellAnchor>
    <xdr:from>
      <xdr:col>8</xdr:col>
      <xdr:colOff>14582</xdr:colOff>
      <xdr:row>0</xdr:row>
      <xdr:rowOff>122258</xdr:rowOff>
    </xdr:from>
    <xdr:to>
      <xdr:col>11</xdr:col>
      <xdr:colOff>172260</xdr:colOff>
      <xdr:row>1</xdr:row>
      <xdr:rowOff>243192</xdr:rowOff>
    </xdr:to>
    <xdr:grpSp>
      <xdr:nvGrpSpPr>
        <xdr:cNvPr id="76" name="Group 75">
          <a:extLst>
            <a:ext uri="{FF2B5EF4-FFF2-40B4-BE49-F238E27FC236}">
              <a16:creationId xmlns:a16="http://schemas.microsoft.com/office/drawing/2014/main" id="{00000000-0008-0000-0200-00004C000000}"/>
            </a:ext>
          </a:extLst>
        </xdr:cNvPr>
        <xdr:cNvGrpSpPr/>
      </xdr:nvGrpSpPr>
      <xdr:grpSpPr>
        <a:xfrm>
          <a:off x="4975865" y="122258"/>
          <a:ext cx="1996417" cy="419108"/>
          <a:chOff x="7808486" y="1110633"/>
          <a:chExt cx="1969993" cy="415972"/>
        </a:xfrm>
      </xdr:grpSpPr>
      <xdr:sp macro="" textlink="">
        <xdr:nvSpPr>
          <xdr:cNvPr id="77" name="Rounded Rectangle 76">
            <a:extLst>
              <a:ext uri="{FF2B5EF4-FFF2-40B4-BE49-F238E27FC236}">
                <a16:creationId xmlns:a16="http://schemas.microsoft.com/office/drawing/2014/main" id="{00000000-0008-0000-0200-00004D000000}"/>
              </a:ext>
            </a:extLst>
          </xdr:cNvPr>
          <xdr:cNvSpPr/>
        </xdr:nvSpPr>
        <xdr:spPr>
          <a:xfrm>
            <a:off x="7905966" y="1211665"/>
            <a:ext cx="1872513" cy="314940"/>
          </a:xfrm>
          <a:prstGeom prst="roundRect">
            <a:avLst/>
          </a:prstGeom>
          <a:solidFill>
            <a:schemeClr val="accent2"/>
          </a:solidFill>
          <a:ln w="10795"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a-DK"/>
            </a:defPPr>
            <a:lvl1pPr marL="0" algn="l" defTabSz="914400" rtl="0" eaLnBrk="1" latinLnBrk="0" hangingPunct="1">
              <a:defRPr sz="1800" kern="1200">
                <a:solidFill>
                  <a:sysClr val="window" lastClr="FFFFFF"/>
                </a:solidFill>
                <a:latin typeface="Verdana"/>
              </a:defRPr>
            </a:lvl1pPr>
            <a:lvl2pPr marL="457200" algn="l" defTabSz="914400" rtl="0" eaLnBrk="1" latinLnBrk="0" hangingPunct="1">
              <a:defRPr sz="1800" kern="1200">
                <a:solidFill>
                  <a:sysClr val="window" lastClr="FFFFFF"/>
                </a:solidFill>
                <a:latin typeface="Verdana"/>
              </a:defRPr>
            </a:lvl2pPr>
            <a:lvl3pPr marL="914400" algn="l" defTabSz="914400" rtl="0" eaLnBrk="1" latinLnBrk="0" hangingPunct="1">
              <a:defRPr sz="1800" kern="1200">
                <a:solidFill>
                  <a:sysClr val="window" lastClr="FFFFFF"/>
                </a:solidFill>
                <a:latin typeface="Verdana"/>
              </a:defRPr>
            </a:lvl3pPr>
            <a:lvl4pPr marL="1371600" algn="l" defTabSz="914400" rtl="0" eaLnBrk="1" latinLnBrk="0" hangingPunct="1">
              <a:defRPr sz="1800" kern="1200">
                <a:solidFill>
                  <a:sysClr val="window" lastClr="FFFFFF"/>
                </a:solidFill>
                <a:latin typeface="Verdana"/>
              </a:defRPr>
            </a:lvl4pPr>
            <a:lvl5pPr marL="1828800" algn="l" defTabSz="914400" rtl="0" eaLnBrk="1" latinLnBrk="0" hangingPunct="1">
              <a:defRPr sz="1800" kern="1200">
                <a:solidFill>
                  <a:sysClr val="window" lastClr="FFFFFF"/>
                </a:solidFill>
                <a:latin typeface="Verdana"/>
              </a:defRPr>
            </a:lvl5pPr>
            <a:lvl6pPr marL="2286000" algn="l" defTabSz="914400" rtl="0" eaLnBrk="1" latinLnBrk="0" hangingPunct="1">
              <a:defRPr sz="1800" kern="1200">
                <a:solidFill>
                  <a:sysClr val="window" lastClr="FFFFFF"/>
                </a:solidFill>
                <a:latin typeface="Verdana"/>
              </a:defRPr>
            </a:lvl6pPr>
            <a:lvl7pPr marL="2743200" algn="l" defTabSz="914400" rtl="0" eaLnBrk="1" latinLnBrk="0" hangingPunct="1">
              <a:defRPr sz="1800" kern="1200">
                <a:solidFill>
                  <a:sysClr val="window" lastClr="FFFFFF"/>
                </a:solidFill>
                <a:latin typeface="Verdana"/>
              </a:defRPr>
            </a:lvl7pPr>
            <a:lvl8pPr marL="3200400" algn="l" defTabSz="914400" rtl="0" eaLnBrk="1" latinLnBrk="0" hangingPunct="1">
              <a:defRPr sz="1800" kern="1200">
                <a:solidFill>
                  <a:sysClr val="window" lastClr="FFFFFF"/>
                </a:solidFill>
                <a:latin typeface="Verdana"/>
              </a:defRPr>
            </a:lvl8pPr>
            <a:lvl9pPr marL="3657600" algn="l" defTabSz="914400" rtl="0" eaLnBrk="1" latinLnBrk="0" hangingPunct="1">
              <a:defRPr sz="1800" kern="1200">
                <a:solidFill>
                  <a:sysClr val="window" lastClr="FFFFFF"/>
                </a:solidFill>
                <a:latin typeface="Verdana"/>
              </a:defRPr>
            </a:lvl9pPr>
          </a:lstStyle>
          <a:p>
            <a:pPr algn="ctr"/>
            <a:r>
              <a:rPr lang="en-GB" sz="900" b="1"/>
              <a:t>Step-by-step guide</a:t>
            </a:r>
          </a:p>
          <a:p>
            <a:pPr algn="ctr"/>
            <a:r>
              <a:rPr lang="en-GB" sz="900" b="0" baseline="0"/>
              <a:t>CSF example</a:t>
            </a:r>
            <a:endParaRPr lang="en-GB" sz="900" b="0"/>
          </a:p>
        </xdr:txBody>
      </xdr:sp>
      <xdr:sp macro="" textlink="">
        <xdr:nvSpPr>
          <xdr:cNvPr id="78" name="TextBox 40">
            <a:extLst>
              <a:ext uri="{FF2B5EF4-FFF2-40B4-BE49-F238E27FC236}">
                <a16:creationId xmlns:a16="http://schemas.microsoft.com/office/drawing/2014/main" id="{00000000-0008-0000-0200-00004E000000}"/>
              </a:ext>
            </a:extLst>
          </xdr:cNvPr>
          <xdr:cNvSpPr txBox="1"/>
        </xdr:nvSpPr>
        <xdr:spPr>
          <a:xfrm>
            <a:off x="7808486" y="1110633"/>
            <a:ext cx="277908" cy="277200"/>
          </a:xfrm>
          <a:prstGeom prst="ellipse">
            <a:avLst/>
          </a:prstGeom>
          <a:solidFill>
            <a:schemeClr val="accent2"/>
          </a:solidFill>
          <a:ln w="28575">
            <a:solidFill>
              <a:sysClr val="window" lastClr="FFFFFF"/>
            </a:solidFill>
          </a:ln>
          <a:effectLst>
            <a:outerShdw blurRad="50800" dist="38100" dir="2700000" algn="tl" rotWithShape="0">
              <a:prstClr val="black">
                <a:alpha val="40000"/>
              </a:prstClr>
            </a:outerShdw>
          </a:effectLst>
        </xdr:spPr>
        <xdr:txBody>
          <a:bodyPr wrap="square" lIns="0" tIns="0" rIns="0" bIns="0" rtlCol="0" anchor="ctr" anchorCtr="0">
            <a:noAutofit/>
          </a:bodyPr>
          <a:lstStyle>
            <a:defPPr>
              <a:defRPr lang="da-DK"/>
            </a:defPPr>
            <a:lvl1pPr marL="0" algn="l" defTabSz="914400" rtl="0" eaLnBrk="1" latinLnBrk="0" hangingPunct="1">
              <a:defRPr sz="1800" kern="1200">
                <a:solidFill>
                  <a:srgbClr val="000000"/>
                </a:solidFill>
                <a:latin typeface="Verdana"/>
              </a:defRPr>
            </a:lvl1pPr>
            <a:lvl2pPr marL="457200" algn="l" defTabSz="914400" rtl="0" eaLnBrk="1" latinLnBrk="0" hangingPunct="1">
              <a:defRPr sz="1800" kern="1200">
                <a:solidFill>
                  <a:srgbClr val="000000"/>
                </a:solidFill>
                <a:latin typeface="Verdana"/>
              </a:defRPr>
            </a:lvl2pPr>
            <a:lvl3pPr marL="914400" algn="l" defTabSz="914400" rtl="0" eaLnBrk="1" latinLnBrk="0" hangingPunct="1">
              <a:defRPr sz="1800" kern="1200">
                <a:solidFill>
                  <a:srgbClr val="000000"/>
                </a:solidFill>
                <a:latin typeface="Verdana"/>
              </a:defRPr>
            </a:lvl3pPr>
            <a:lvl4pPr marL="1371600" algn="l" defTabSz="914400" rtl="0" eaLnBrk="1" latinLnBrk="0" hangingPunct="1">
              <a:defRPr sz="1800" kern="1200">
                <a:solidFill>
                  <a:srgbClr val="000000"/>
                </a:solidFill>
                <a:latin typeface="Verdana"/>
              </a:defRPr>
            </a:lvl4pPr>
            <a:lvl5pPr marL="1828800" algn="l" defTabSz="914400" rtl="0" eaLnBrk="1" latinLnBrk="0" hangingPunct="1">
              <a:defRPr sz="1800" kern="1200">
                <a:solidFill>
                  <a:srgbClr val="000000"/>
                </a:solidFill>
                <a:latin typeface="Verdana"/>
              </a:defRPr>
            </a:lvl5pPr>
            <a:lvl6pPr marL="2286000" algn="l" defTabSz="914400" rtl="0" eaLnBrk="1" latinLnBrk="0" hangingPunct="1">
              <a:defRPr sz="1800" kern="1200">
                <a:solidFill>
                  <a:srgbClr val="000000"/>
                </a:solidFill>
                <a:latin typeface="Verdana"/>
              </a:defRPr>
            </a:lvl6pPr>
            <a:lvl7pPr marL="2743200" algn="l" defTabSz="914400" rtl="0" eaLnBrk="1" latinLnBrk="0" hangingPunct="1">
              <a:defRPr sz="1800" kern="1200">
                <a:solidFill>
                  <a:srgbClr val="000000"/>
                </a:solidFill>
                <a:latin typeface="Verdana"/>
              </a:defRPr>
            </a:lvl7pPr>
            <a:lvl8pPr marL="3200400" algn="l" defTabSz="914400" rtl="0" eaLnBrk="1" latinLnBrk="0" hangingPunct="1">
              <a:defRPr sz="1800" kern="1200">
                <a:solidFill>
                  <a:srgbClr val="000000"/>
                </a:solidFill>
                <a:latin typeface="Verdana"/>
              </a:defRPr>
            </a:lvl8pPr>
            <a:lvl9pPr marL="3657600" algn="l" defTabSz="914400" rtl="0" eaLnBrk="1" latinLnBrk="0" hangingPunct="1">
              <a:defRPr sz="1800" kern="1200">
                <a:solidFill>
                  <a:srgbClr val="000000"/>
                </a:solidFill>
                <a:latin typeface="Verdana"/>
              </a:defRPr>
            </a:lvl9pPr>
          </a:lstStyle>
          <a:p>
            <a:pPr algn="ctr"/>
            <a:r>
              <a:rPr lang="en-GB" sz="1400" b="1">
                <a:solidFill>
                  <a:schemeClr val="bg1"/>
                </a:solidFill>
              </a:rPr>
              <a:t>x</a:t>
            </a:r>
          </a:p>
        </xdr:txBody>
      </xdr:sp>
    </xdr:grpSp>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SC_Perspective" xr10:uid="{00000000-0013-0000-FFFF-FFFF01000000}" sourceName="BSC Perspective">
  <extLst>
    <x:ext xmlns:x15="http://schemas.microsoft.com/office/spreadsheetml/2010/11/main" uri="{2F2917AC-EB37-4324-AD4E-5DD8C200BD13}">
      <x15:tableSlicerCache tableId="3" column="3"/>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SC_Focus_area" xr10:uid="{00000000-0013-0000-FFFF-FFFF02000000}" sourceName="BSC Focus area">
  <extLst>
    <x:ext xmlns:x15="http://schemas.microsoft.com/office/spreadsheetml/2010/11/main" uri="{2F2917AC-EB37-4324-AD4E-5DD8C200BD13}">
      <x15:tableSlicerCache tableId="3" column="4"/>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SF_Type" xr10:uid="{00000000-0013-0000-FFFF-FFFF03000000}" sourceName="CSF Type">
  <extLst>
    <x:ext xmlns:x15="http://schemas.microsoft.com/office/spreadsheetml/2010/11/main" uri="{2F2917AC-EB37-4324-AD4E-5DD8C200BD13}">
      <x15:tableSlicerCache tableId="3" column="5"/>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SF_Title" xr10:uid="{00000000-0013-0000-FFFF-FFFF04000000}" sourceName="CSF Title">
  <extLst>
    <x:ext xmlns:x15="http://schemas.microsoft.com/office/spreadsheetml/2010/11/main" uri="{2F2917AC-EB37-4324-AD4E-5DD8C200BD13}">
      <x15:tableSlicerCache tableId="3" column="6"/>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ible" xr10:uid="{00000000-0013-0000-FFFF-FFFF05000000}" sourceName="Responsible">
  <extLst>
    <x:ext xmlns:x15="http://schemas.microsoft.com/office/spreadsheetml/2010/11/main" uri="{2F2917AC-EB37-4324-AD4E-5DD8C200BD13}">
      <x15:tableSlicerCache tableId="3" column="9"/>
    </x:ex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SC_Perspective1" xr10:uid="{00000000-0013-0000-FFFF-FFFF06000000}" sourceName="BSC Perspective">
  <extLst>
    <x:ext xmlns:x15="http://schemas.microsoft.com/office/spreadsheetml/2010/11/main" uri="{2F2917AC-EB37-4324-AD4E-5DD8C200BD13}">
      <x15:tableSlicerCache tableId="2" column="3"/>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SC_Focus_area1" xr10:uid="{00000000-0013-0000-FFFF-FFFF07000000}" sourceName="BSC Focus area">
  <extLst>
    <x:ext xmlns:x15="http://schemas.microsoft.com/office/spreadsheetml/2010/11/main" uri="{2F2917AC-EB37-4324-AD4E-5DD8C200BD13}">
      <x15:tableSlicerCache tableId="2" column="4"/>
    </x:ex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SF_Type1" xr10:uid="{00000000-0013-0000-FFFF-FFFF08000000}" sourceName="CSF Type">
  <extLst>
    <x:ext xmlns:x15="http://schemas.microsoft.com/office/spreadsheetml/2010/11/main" uri="{2F2917AC-EB37-4324-AD4E-5DD8C200BD13}">
      <x15:tableSlicerCache tableId="2" column="5"/>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ible1" xr10:uid="{00000000-0013-0000-FFFF-FFFF09000000}" sourceName="Responsible">
  <extLst>
    <x:ext xmlns:x15="http://schemas.microsoft.com/office/spreadsheetml/2010/11/main" uri="{2F2917AC-EB37-4324-AD4E-5DD8C200BD13}">
      <x15:tableSlicerCache tableId="2" column="8"/>
    </x:ex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SF_Title1" xr10:uid="{00000000-0013-0000-FFFF-FFFF0A000000}" sourceName="CSF Title">
  <extLst>
    <x:ext xmlns:x15="http://schemas.microsoft.com/office/spreadsheetml/2010/11/main" uri="{2F2917AC-EB37-4324-AD4E-5DD8C200BD13}">
      <x15:tableSlicerCache tableId="2"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SC Perspective" xr10:uid="{00000000-0014-0000-FFFF-FFFF01000000}" cache="Slicer_BSC_Perspective" caption="BSC Perspective" rowHeight="180000"/>
  <slicer name="BSC Focus area" xr10:uid="{00000000-0014-0000-FFFF-FFFF02000000}" cache="Slicer_BSC_Focus_area" caption="BSC Focus area" columnCount="2" rowHeight="180000"/>
  <slicer name="CSF Type" xr10:uid="{00000000-0014-0000-FFFF-FFFF03000000}" cache="Slicer_CSF_Type" caption="CSF Type" rowHeight="180000"/>
  <slicer name="CSF Title" xr10:uid="{00000000-0014-0000-FFFF-FFFF04000000}" cache="Slicer_CSF_Title" caption="CSF Title" startItem="3" rowHeight="180000"/>
  <slicer name="Responsible" xr10:uid="{00000000-0014-0000-FFFF-FFFF05000000}" cache="Slicer_Responsible" caption="Responsible" columnCount="2"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SC Perspective 1" xr10:uid="{00000000-0014-0000-FFFF-FFFF06000000}" cache="Slicer_BSC_Perspective1" caption="BSC Perspective" rowHeight="180000"/>
  <slicer name="BSC Focus area 1" xr10:uid="{00000000-0014-0000-FFFF-FFFF07000000}" cache="Slicer_BSC_Focus_area1" caption="BSC Focus area" columnCount="2" rowHeight="180000"/>
  <slicer name="CSF Type 1" xr10:uid="{00000000-0014-0000-FFFF-FFFF08000000}" cache="Slicer_CSF_Type1" caption="CSF Type" rowHeight="180000"/>
  <slicer name="Responsible 1" xr10:uid="{00000000-0014-0000-FFFF-FFFF09000000}" cache="Slicer_Responsible1" caption="Responsible" columnCount="2" rowHeight="180000"/>
  <slicer name="CSF Title 1" xr10:uid="{00000000-0014-0000-FFFF-FFFF0A000000}" cache="Slicer_CSF_Title1" caption="CSF Title"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B9:BP325" totalsRowShown="0" dataDxfId="441">
  <autoFilter ref="B9:BP325" xr:uid="{00000000-0009-0000-0100-000003000000}">
    <filterColumn colId="0" hiddenButton="1"/>
    <filterColumn colId="1" hiddenButton="1"/>
    <filterColumn colId="2" hiddenButton="1"/>
    <filterColumn colId="3" hiddenButton="1"/>
    <filterColumn colId="4" hiddenButton="1">
      <filters>
        <filter val="JYSK"/>
        <filter val="Local"/>
      </filters>
    </filterColumn>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autoFilter>
  <tableColumns count="67">
    <tableColumn id="1" xr3:uid="{00000000-0010-0000-0000-000001000000}" name="BSC" dataDxfId="440"/>
    <tableColumn id="2" xr3:uid="{00000000-0010-0000-0000-000002000000}" name="#" dataDxfId="439"/>
    <tableColumn id="3" xr3:uid="{00000000-0010-0000-0000-000003000000}" name="BSC Perspective" dataDxfId="438"/>
    <tableColumn id="4" xr3:uid="{00000000-0010-0000-0000-000004000000}" name="BSC Focus area" dataDxfId="437"/>
    <tableColumn id="5" xr3:uid="{00000000-0010-0000-0000-000005000000}" name="CSF Type" dataDxfId="436"/>
    <tableColumn id="6" xr3:uid="{00000000-0010-0000-0000-000006000000}" name="CSF Title" dataDxfId="435"/>
    <tableColumn id="8" xr3:uid="{00000000-0010-0000-0000-000008000000}" name="CSF and Actions" dataDxfId="434"/>
    <tableColumn id="7" xr3:uid="{00000000-0010-0000-0000-000007000000}" name="Impact" dataDxfId="433"/>
    <tableColumn id="9" xr3:uid="{00000000-0010-0000-0000-000009000000}" name="Responsible" dataDxfId="432"/>
    <tableColumn id="10" xr3:uid="{00000000-0010-0000-0000-00000A000000}" name="Participants" dataDxfId="431"/>
    <tableColumn id="11" xr3:uid="{00000000-0010-0000-0000-00000B000000}" name="Start" dataDxfId="430"/>
    <tableColumn id="12" xr3:uid="{00000000-0010-0000-0000-00000C000000}" name="Finish" dataDxfId="429"/>
    <tableColumn id="13" xr3:uid="{00000000-0010-0000-0000-00000D000000}" name="Comments" dataDxfId="428"/>
    <tableColumn id="14" xr3:uid="{00000000-0010-0000-0000-00000E000000}" name="Completion rate" dataDxfId="427" dataCellStyle="Percent"/>
    <tableColumn id="44" xr3:uid="{00000000-0010-0000-0000-00002C000000}" name=" " dataDxfId="426"/>
    <tableColumn id="45" xr3:uid="{00000000-0010-0000-0000-00002D000000}" name="36" dataDxfId="425"/>
    <tableColumn id="46" xr3:uid="{00000000-0010-0000-0000-00002E000000}" name="37" dataDxfId="424"/>
    <tableColumn id="47" xr3:uid="{00000000-0010-0000-0000-00002F000000}" name="38" dataDxfId="423"/>
    <tableColumn id="48" xr3:uid="{00000000-0010-0000-0000-000030000000}" name="39" dataDxfId="422"/>
    <tableColumn id="49" xr3:uid="{00000000-0010-0000-0000-000031000000}" name="40" dataDxfId="421"/>
    <tableColumn id="50" xr3:uid="{00000000-0010-0000-0000-000032000000}" name="41" dataDxfId="420"/>
    <tableColumn id="51" xr3:uid="{00000000-0010-0000-0000-000033000000}" name="42" dataDxfId="419"/>
    <tableColumn id="52" xr3:uid="{00000000-0010-0000-0000-000034000000}" name="43" dataDxfId="418"/>
    <tableColumn id="53" xr3:uid="{00000000-0010-0000-0000-000035000000}" name="44" dataDxfId="417"/>
    <tableColumn id="54" xr3:uid="{00000000-0010-0000-0000-000036000000}" name="45" dataDxfId="416"/>
    <tableColumn id="55" xr3:uid="{00000000-0010-0000-0000-000037000000}" name="46" dataDxfId="415"/>
    <tableColumn id="56" xr3:uid="{00000000-0010-0000-0000-000038000000}" name="47" dataDxfId="414"/>
    <tableColumn id="57" xr3:uid="{00000000-0010-0000-0000-000039000000}" name="48" dataDxfId="413"/>
    <tableColumn id="58" xr3:uid="{00000000-0010-0000-0000-00003A000000}" name="49" dataDxfId="412"/>
    <tableColumn id="59" xr3:uid="{00000000-0010-0000-0000-00003B000000}" name="50" dataDxfId="411"/>
    <tableColumn id="60" xr3:uid="{00000000-0010-0000-0000-00003C000000}" name="51" dataDxfId="410"/>
    <tableColumn id="61" xr3:uid="{00000000-0010-0000-0000-00003D000000}" name="52" dataDxfId="409"/>
    <tableColumn id="62" xr3:uid="{00000000-0010-0000-0000-00003E000000}" name="1" dataDxfId="408"/>
    <tableColumn id="63" xr3:uid="{00000000-0010-0000-0000-00003F000000}" name="2" dataDxfId="407"/>
    <tableColumn id="64" xr3:uid="{00000000-0010-0000-0000-000040000000}" name="3" dataDxfId="406"/>
    <tableColumn id="65" xr3:uid="{00000000-0010-0000-0000-000041000000}" name="4" dataDxfId="405"/>
    <tableColumn id="66" xr3:uid="{00000000-0010-0000-0000-000042000000}" name="5" dataDxfId="404"/>
    <tableColumn id="67" xr3:uid="{00000000-0010-0000-0000-000043000000}" name="6" dataDxfId="403"/>
    <tableColumn id="68" xr3:uid="{00000000-0010-0000-0000-000044000000}" name="7" dataDxfId="402"/>
    <tableColumn id="69" xr3:uid="{00000000-0010-0000-0000-000045000000}" name="8" dataDxfId="401"/>
    <tableColumn id="70" xr3:uid="{00000000-0010-0000-0000-000046000000}" name="9" dataDxfId="400"/>
    <tableColumn id="71" xr3:uid="{00000000-0010-0000-0000-000047000000}" name="10" dataDxfId="399"/>
    <tableColumn id="72" xr3:uid="{00000000-0010-0000-0000-000048000000}" name="11" dataDxfId="398"/>
    <tableColumn id="73" xr3:uid="{00000000-0010-0000-0000-000049000000}" name="12" dataDxfId="397"/>
    <tableColumn id="74" xr3:uid="{00000000-0010-0000-0000-00004A000000}" name="13" dataDxfId="396"/>
    <tableColumn id="75" xr3:uid="{00000000-0010-0000-0000-00004B000000}" name="14" dataDxfId="395"/>
    <tableColumn id="76" xr3:uid="{00000000-0010-0000-0000-00004C000000}" name="15" dataDxfId="394"/>
    <tableColumn id="77" xr3:uid="{00000000-0010-0000-0000-00004D000000}" name="16" dataDxfId="393"/>
    <tableColumn id="78" xr3:uid="{00000000-0010-0000-0000-00004E000000}" name="17" dataDxfId="392"/>
    <tableColumn id="79" xr3:uid="{00000000-0010-0000-0000-00004F000000}" name="18" dataDxfId="391"/>
    <tableColumn id="80" xr3:uid="{00000000-0010-0000-0000-000050000000}" name="19" dataDxfId="390"/>
    <tableColumn id="81" xr3:uid="{00000000-0010-0000-0000-000051000000}" name="20" dataDxfId="389"/>
    <tableColumn id="82" xr3:uid="{00000000-0010-0000-0000-000052000000}" name="21" dataDxfId="388"/>
    <tableColumn id="83" xr3:uid="{00000000-0010-0000-0000-000053000000}" name="22" dataDxfId="387"/>
    <tableColumn id="84" xr3:uid="{00000000-0010-0000-0000-000054000000}" name="23" dataDxfId="386"/>
    <tableColumn id="85" xr3:uid="{00000000-0010-0000-0000-000055000000}" name="24" dataDxfId="385"/>
    <tableColumn id="86" xr3:uid="{00000000-0010-0000-0000-000056000000}" name="25" dataDxfId="384"/>
    <tableColumn id="87" xr3:uid="{00000000-0010-0000-0000-000057000000}" name="26" dataDxfId="383"/>
    <tableColumn id="88" xr3:uid="{00000000-0010-0000-0000-000058000000}" name="27" dataDxfId="382"/>
    <tableColumn id="89" xr3:uid="{00000000-0010-0000-0000-000059000000}" name="28" dataDxfId="381"/>
    <tableColumn id="90" xr3:uid="{00000000-0010-0000-0000-00005A000000}" name="29" dataDxfId="380"/>
    <tableColumn id="91" xr3:uid="{00000000-0010-0000-0000-00005B000000}" name="30" dataDxfId="379"/>
    <tableColumn id="92" xr3:uid="{00000000-0010-0000-0000-00005C000000}" name="31" dataDxfId="378"/>
    <tableColumn id="93" xr3:uid="{00000000-0010-0000-0000-00005D000000}" name="32" dataDxfId="377"/>
    <tableColumn id="94" xr3:uid="{00000000-0010-0000-0000-00005E000000}" name="33" dataDxfId="376"/>
    <tableColumn id="95" xr3:uid="{00000000-0010-0000-0000-00005F000000}" name="34" dataDxfId="375"/>
    <tableColumn id="96" xr3:uid="{00000000-0010-0000-0000-000060000000}" name="35" dataDxfId="374"/>
  </tableColumns>
  <tableStyleInfo name="TableStyleMedium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11:M51" totalsRowShown="0" headerRowDxfId="373" dataDxfId="371" headerRowBorderDxfId="372" tableBorderDxfId="370">
  <autoFilter ref="B11:M5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100-000001000000}" name="BSC" dataDxfId="369"/>
    <tableColumn id="2" xr3:uid="{00000000-0010-0000-0100-000002000000}" name="#" dataDxfId="368"/>
    <tableColumn id="13" xr3:uid="{00000000-0010-0000-0100-00000D000000}" name="CSF Title" dataDxfId="367">
      <calculatedColumnFormula>IFERROR(IF(VLOOKUP(Table2[[#This Row],['#]],Table3[['#]:[Completion rate]],'High-level overview'!D$9,FALSE)=0,"",VLOOKUP(Table2[[#This Row],['#]],Table3[['#]:[Completion rate]],'High-level overview'!D$9,FALSE)),"")</calculatedColumnFormula>
    </tableColumn>
    <tableColumn id="3" xr3:uid="{00000000-0010-0000-0100-000003000000}" name="BSC Perspective" dataDxfId="366">
      <calculatedColumnFormula>IFERROR(IF(VLOOKUP(Table2[[#This Row],['#]],Table3[['#]:[Completion rate]],'High-level overview'!E$9,FALSE)=0,"",VLOOKUP(Table2[[#This Row],['#]],Table3[['#]:[Completion rate]],'High-level overview'!E$9,FALSE)),"")</calculatedColumnFormula>
    </tableColumn>
    <tableColumn id="4" xr3:uid="{00000000-0010-0000-0100-000004000000}" name="BSC Focus area" dataDxfId="365">
      <calculatedColumnFormula>IFERROR(IF(VLOOKUP(Table2[[#This Row],['#]],Table3[['#]:[Completion rate]],'High-level overview'!F$9,FALSE)=0,"",VLOOKUP(Table2[[#This Row],['#]],Table3[['#]:[Completion rate]],'High-level overview'!F$9,FALSE)),"")</calculatedColumnFormula>
    </tableColumn>
    <tableColumn id="5" xr3:uid="{00000000-0010-0000-0100-000005000000}" name="CSF Type" dataDxfId="364">
      <calculatedColumnFormula>IFERROR(IF(VLOOKUP(Table2[[#This Row],['#]],Table3[['#]:[Completion rate]],'High-level overview'!G$9,FALSE)=0,"",VLOOKUP(Table2[[#This Row],['#]],Table3[['#]:[Completion rate]],'High-level overview'!G$9,FALSE)),"")</calculatedColumnFormula>
    </tableColumn>
    <tableColumn id="7" xr3:uid="{00000000-0010-0000-0100-000007000000}" name="CSF or Action" dataDxfId="363">
      <calculatedColumnFormula>IFERROR(IF(VLOOKUP(Table2[[#This Row],['#]],Table3[['#]:[Completion rate]],'High-level overview'!H$9,FALSE)=0,"",VLOOKUP(Table2[[#This Row],['#]],Table3[['#]:[Completion rate]],'High-level overview'!H$9,FALSE)),"")</calculatedColumnFormula>
    </tableColumn>
    <tableColumn id="8" xr3:uid="{00000000-0010-0000-0100-000008000000}" name="Responsible" dataDxfId="362">
      <calculatedColumnFormula>IFERROR(IF(VLOOKUP(Table2[[#This Row],['#]],Table3[['#]:[Completion rate]],'High-level overview'!I$9,FALSE)=0,"",VLOOKUP(Table2[[#This Row],['#]],Table3[['#]:[Completion rate]],'High-level overview'!I$9,FALSE)),"")</calculatedColumnFormula>
    </tableColumn>
    <tableColumn id="9" xr3:uid="{00000000-0010-0000-0100-000009000000}" name="Start" dataDxfId="361">
      <calculatedColumnFormula>IFERROR(IF(VLOOKUP(Table2[[#This Row],['#]],Table3[['#]:[Completion rate]],'High-level overview'!J$9,FALSE)=0,"",VLOOKUP(Table2[[#This Row],['#]],Table3[['#]:[Completion rate]],'High-level overview'!J$9,FALSE)),"")</calculatedColumnFormula>
    </tableColumn>
    <tableColumn id="10" xr3:uid="{00000000-0010-0000-0100-00000A000000}" name="Finish" dataDxfId="360">
      <calculatedColumnFormula>IFERROR(IF(VLOOKUP(Table2[[#This Row],['#]],Table3[['#]:[Completion rate]],'High-level overview'!K$9,FALSE)=0,"",VLOOKUP(Table2[[#This Row],['#]],Table3[['#]:[Completion rate]],'High-level overview'!K$9,FALSE)),"")</calculatedColumnFormula>
    </tableColumn>
    <tableColumn id="11" xr3:uid="{00000000-0010-0000-0100-00000B000000}" name="Comments" dataDxfId="359">
      <calculatedColumnFormula>IFERROR(IF(VLOOKUP(Table2[[#This Row],['#]],Table3[['#]:[Completion rate]],'High-level overview'!L$9,FALSE)=0,"",VLOOKUP(Table2[[#This Row],['#]],Table3[['#]:[Completion rate]],'High-level overview'!L$9,FALSE)),"")</calculatedColumnFormula>
    </tableColumn>
    <tableColumn id="12" xr3:uid="{00000000-0010-0000-0100-00000C000000}" name="Completion rate" dataDxfId="358" dataCellStyle="Percent">
      <calculatedColumnFormula>IFERROR(IF(VLOOKUP(Table2[[#This Row],['#]],Table3[['#]:[Completion rate]],'High-level overview'!M$9,FALSE)=0,"",VLOOKUP(Table2[[#This Row],['#]],Table3[['#]:[Completion rate]],'High-level overview'!M$9,FALSE)),"")</calculatedColumnFormula>
    </tableColumn>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customProperty" Target="../customProperty2.bin"/><Relationship Id="rId7" Type="http://schemas.microsoft.com/office/2007/relationships/slicer" Target="../slicers/slicer1.x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 Id="rId6" Type="http://schemas.microsoft.com/office/2007/relationships/slicer" Target="../slicers/slicer2.xml"/><Relationship Id="rId5" Type="http://schemas.openxmlformats.org/officeDocument/2006/relationships/table" Target="../tables/table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customProperty" Target="../customProperty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B1:BP407"/>
  <sheetViews>
    <sheetView showGridLines="0" tabSelected="1" zoomScale="110" zoomScaleNormal="110" workbookViewId="0">
      <pane ySplit="9" topLeftCell="A85" activePane="bottomLeft" state="frozen"/>
      <selection pane="bottomLeft" activeCell="C9" sqref="C9:K148"/>
    </sheetView>
  </sheetViews>
  <sheetFormatPr defaultColWidth="9.140625" defaultRowHeight="10.5" outlineLevelCol="1" x14ac:dyDescent="0.15"/>
  <cols>
    <col min="1" max="1" width="2.28515625" style="5" customWidth="1"/>
    <col min="2" max="2" width="6.140625" style="5" customWidth="1"/>
    <col min="3" max="3" width="6.85546875" style="5" bestFit="1" customWidth="1"/>
    <col min="4" max="4" width="18.7109375" style="5" customWidth="1" outlineLevel="1"/>
    <col min="5" max="5" width="21.85546875" style="5" customWidth="1" outlineLevel="1"/>
    <col min="6" max="6" width="12.140625" style="5" customWidth="1" outlineLevel="1"/>
    <col min="7" max="7" width="36.7109375" style="5" customWidth="1" outlineLevel="1"/>
    <col min="8" max="8" width="64.85546875" style="5" customWidth="1"/>
    <col min="9" max="9" width="16.85546875" style="5" customWidth="1"/>
    <col min="10" max="10" width="14" style="5" customWidth="1"/>
    <col min="11" max="11" width="13.5703125" style="5" customWidth="1"/>
    <col min="12" max="13" width="8.42578125" style="6" customWidth="1"/>
    <col min="14" max="14" width="39.7109375" style="5" customWidth="1"/>
    <col min="15" max="15" width="12" style="6" customWidth="1"/>
    <col min="16" max="16" width="3.140625" style="5" customWidth="1"/>
    <col min="17" max="68" width="3.140625" style="5" customWidth="1" outlineLevel="1"/>
    <col min="69" max="69" width="9.140625" style="5" customWidth="1"/>
    <col min="70" max="16384" width="9.140625" style="5"/>
  </cols>
  <sheetData>
    <row r="1" spans="2:68" ht="15.75" customHeight="1" x14ac:dyDescent="0.15"/>
    <row r="2" spans="2:68" ht="15.75" customHeight="1" x14ac:dyDescent="0.15">
      <c r="Q2" s="8" t="s">
        <v>83</v>
      </c>
      <c r="R2" s="9"/>
      <c r="S2" s="9"/>
    </row>
    <row r="3" spans="2:68" ht="15.75" customHeight="1" x14ac:dyDescent="0.15">
      <c r="Q3" s="16">
        <v>1</v>
      </c>
      <c r="R3" s="24">
        <v>1</v>
      </c>
      <c r="S3" s="15" t="s">
        <v>90</v>
      </c>
    </row>
    <row r="4" spans="2:68" ht="15.75" customHeight="1" x14ac:dyDescent="0.15">
      <c r="Q4" s="16">
        <v>2</v>
      </c>
      <c r="R4" s="16">
        <v>2</v>
      </c>
      <c r="S4" s="15" t="s">
        <v>91</v>
      </c>
    </row>
    <row r="5" spans="2:68" ht="15.75" customHeight="1" x14ac:dyDescent="0.15">
      <c r="Q5" s="16">
        <v>3</v>
      </c>
      <c r="R5" s="16">
        <v>3</v>
      </c>
      <c r="S5" s="15" t="s">
        <v>92</v>
      </c>
    </row>
    <row r="6" spans="2:68" ht="15.75" customHeight="1" x14ac:dyDescent="0.15">
      <c r="Q6" s="16">
        <v>4</v>
      </c>
      <c r="R6" s="16">
        <v>4</v>
      </c>
      <c r="S6" s="15" t="s">
        <v>93</v>
      </c>
    </row>
    <row r="7" spans="2:68" ht="15.75" customHeight="1" x14ac:dyDescent="0.25">
      <c r="O7"/>
      <c r="Q7" s="16">
        <v>5</v>
      </c>
      <c r="R7" s="16">
        <v>5</v>
      </c>
      <c r="S7" s="5" t="s">
        <v>94</v>
      </c>
    </row>
    <row r="8" spans="2:68" ht="15.75" customHeight="1" x14ac:dyDescent="0.15"/>
    <row r="9" spans="2:68" s="7" customFormat="1" ht="31.5" customHeight="1" x14ac:dyDescent="0.25">
      <c r="B9" s="4" t="s">
        <v>0</v>
      </c>
      <c r="C9" s="4" t="s">
        <v>1</v>
      </c>
      <c r="D9" s="3" t="s">
        <v>2</v>
      </c>
      <c r="E9" s="3" t="s">
        <v>3</v>
      </c>
      <c r="F9" s="3" t="s">
        <v>4</v>
      </c>
      <c r="G9" s="3" t="s">
        <v>5</v>
      </c>
      <c r="H9" s="3" t="s">
        <v>133</v>
      </c>
      <c r="I9" s="3" t="s">
        <v>6</v>
      </c>
      <c r="J9" s="3" t="s">
        <v>7</v>
      </c>
      <c r="K9" s="3" t="s">
        <v>8</v>
      </c>
      <c r="L9" s="4" t="s">
        <v>95</v>
      </c>
      <c r="M9" s="4" t="s">
        <v>96</v>
      </c>
      <c r="N9" s="3" t="s">
        <v>9</v>
      </c>
      <c r="O9" s="4" t="s">
        <v>10</v>
      </c>
      <c r="P9" s="22" t="s">
        <v>66</v>
      </c>
      <c r="Q9" s="83" t="s">
        <v>14</v>
      </c>
      <c r="R9" s="83" t="s">
        <v>15</v>
      </c>
      <c r="S9" s="83" t="s">
        <v>16</v>
      </c>
      <c r="T9" s="83" t="s">
        <v>17</v>
      </c>
      <c r="U9" s="83" t="s">
        <v>18</v>
      </c>
      <c r="V9" s="83" t="s">
        <v>19</v>
      </c>
      <c r="W9" s="83" t="s">
        <v>20</v>
      </c>
      <c r="X9" s="83" t="s">
        <v>21</v>
      </c>
      <c r="Y9" s="83" t="s">
        <v>22</v>
      </c>
      <c r="Z9" s="83" t="s">
        <v>23</v>
      </c>
      <c r="AA9" s="83" t="s">
        <v>24</v>
      </c>
      <c r="AB9" s="83" t="s">
        <v>25</v>
      </c>
      <c r="AC9" s="83" t="s">
        <v>26</v>
      </c>
      <c r="AD9" s="83" t="s">
        <v>27</v>
      </c>
      <c r="AE9" s="83" t="s">
        <v>28</v>
      </c>
      <c r="AF9" s="83" t="s">
        <v>29</v>
      </c>
      <c r="AG9" s="83" t="s">
        <v>30</v>
      </c>
      <c r="AH9" s="83" t="s">
        <v>31</v>
      </c>
      <c r="AI9" s="83" t="s">
        <v>32</v>
      </c>
      <c r="AJ9" s="83" t="s">
        <v>33</v>
      </c>
      <c r="AK9" s="83" t="s">
        <v>34</v>
      </c>
      <c r="AL9" s="83" t="s">
        <v>35</v>
      </c>
      <c r="AM9" s="83" t="s">
        <v>36</v>
      </c>
      <c r="AN9" s="83" t="s">
        <v>37</v>
      </c>
      <c r="AO9" s="83" t="s">
        <v>38</v>
      </c>
      <c r="AP9" s="83" t="s">
        <v>39</v>
      </c>
      <c r="AQ9" s="83" t="s">
        <v>40</v>
      </c>
      <c r="AR9" s="83" t="s">
        <v>41</v>
      </c>
      <c r="AS9" s="83" t="s">
        <v>42</v>
      </c>
      <c r="AT9" s="83" t="s">
        <v>43</v>
      </c>
      <c r="AU9" s="83" t="s">
        <v>44</v>
      </c>
      <c r="AV9" s="83" t="s">
        <v>45</v>
      </c>
      <c r="AW9" s="83" t="s">
        <v>46</v>
      </c>
      <c r="AX9" s="83" t="s">
        <v>47</v>
      </c>
      <c r="AY9" s="83" t="s">
        <v>48</v>
      </c>
      <c r="AZ9" s="83" t="s">
        <v>49</v>
      </c>
      <c r="BA9" s="83" t="s">
        <v>50</v>
      </c>
      <c r="BB9" s="83" t="s">
        <v>51</v>
      </c>
      <c r="BC9" s="83" t="s">
        <v>52</v>
      </c>
      <c r="BD9" s="83" t="s">
        <v>53</v>
      </c>
      <c r="BE9" s="83" t="s">
        <v>54</v>
      </c>
      <c r="BF9" s="83" t="s">
        <v>55</v>
      </c>
      <c r="BG9" s="83" t="s">
        <v>56</v>
      </c>
      <c r="BH9" s="83" t="s">
        <v>57</v>
      </c>
      <c r="BI9" s="83" t="s">
        <v>58</v>
      </c>
      <c r="BJ9" s="83" t="s">
        <v>59</v>
      </c>
      <c r="BK9" s="83" t="s">
        <v>60</v>
      </c>
      <c r="BL9" s="83" t="s">
        <v>61</v>
      </c>
      <c r="BM9" s="83" t="s">
        <v>62</v>
      </c>
      <c r="BN9" s="83" t="s">
        <v>63</v>
      </c>
      <c r="BO9" s="83" t="s">
        <v>64</v>
      </c>
      <c r="BP9" s="83" t="s">
        <v>65</v>
      </c>
    </row>
    <row r="10" spans="2:68" ht="23.25" customHeight="1" x14ac:dyDescent="0.15">
      <c r="B10" s="33"/>
      <c r="C10" s="34">
        <v>1</v>
      </c>
      <c r="D10" s="40" t="s">
        <v>11</v>
      </c>
      <c r="E10" s="40" t="s">
        <v>70</v>
      </c>
      <c r="F10" s="41" t="s">
        <v>13</v>
      </c>
      <c r="G10" s="41" t="s">
        <v>97</v>
      </c>
      <c r="H10" s="35" t="s">
        <v>97</v>
      </c>
      <c r="I10" s="71"/>
      <c r="J10" s="35" t="s">
        <v>162</v>
      </c>
      <c r="K10" s="35"/>
      <c r="L10" s="34"/>
      <c r="M10" s="34"/>
      <c r="N10" s="35"/>
      <c r="O10" s="36"/>
      <c r="P10" s="37"/>
      <c r="Q10" s="38"/>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row>
    <row r="11" spans="2:68" ht="23.25" customHeight="1" x14ac:dyDescent="0.15">
      <c r="B11" s="33"/>
      <c r="C11" s="57" t="s">
        <v>98</v>
      </c>
      <c r="D11" s="46" t="s">
        <v>11</v>
      </c>
      <c r="E11" s="46" t="s">
        <v>70</v>
      </c>
      <c r="F11" s="43" t="s">
        <v>13</v>
      </c>
      <c r="G11" s="43" t="s">
        <v>97</v>
      </c>
      <c r="H11" s="47" t="s">
        <v>331</v>
      </c>
      <c r="I11" s="80"/>
      <c r="J11" s="77" t="s">
        <v>162</v>
      </c>
      <c r="K11" s="47"/>
      <c r="L11" s="45"/>
      <c r="M11" s="45"/>
      <c r="N11" s="47"/>
      <c r="O11" s="48"/>
      <c r="P11" s="37"/>
      <c r="Q11" s="38"/>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row>
    <row r="12" spans="2:68" s="66" customFormat="1" ht="52.5" x14ac:dyDescent="0.15">
      <c r="B12" s="58"/>
      <c r="C12" s="55" t="s">
        <v>118</v>
      </c>
      <c r="D12" s="60" t="s">
        <v>11</v>
      </c>
      <c r="E12" s="60" t="s">
        <v>70</v>
      </c>
      <c r="F12" s="61" t="s">
        <v>13</v>
      </c>
      <c r="G12" s="61" t="s">
        <v>97</v>
      </c>
      <c r="H12" s="61" t="s">
        <v>332</v>
      </c>
      <c r="I12" s="81" t="s">
        <v>346</v>
      </c>
      <c r="J12" s="78" t="s">
        <v>162</v>
      </c>
      <c r="K12" s="59" t="s">
        <v>526</v>
      </c>
      <c r="L12" s="59" t="s">
        <v>504</v>
      </c>
      <c r="M12" s="59" t="s">
        <v>508</v>
      </c>
      <c r="N12" s="56"/>
      <c r="O12" s="62"/>
      <c r="P12" s="63"/>
      <c r="Q12" s="64"/>
      <c r="R12" s="65"/>
      <c r="S12" s="65"/>
      <c r="T12" s="65"/>
      <c r="U12" s="65"/>
      <c r="V12" s="65"/>
      <c r="W12" s="65"/>
      <c r="X12" s="65"/>
      <c r="Y12" s="65"/>
      <c r="Z12" s="65"/>
      <c r="AA12" s="65">
        <v>5</v>
      </c>
      <c r="AB12" s="65"/>
      <c r="AC12" s="65"/>
      <c r="AD12" s="65"/>
      <c r="AE12" s="65"/>
      <c r="AF12" s="65"/>
      <c r="AG12" s="65"/>
      <c r="AH12" s="65"/>
      <c r="AI12" s="65"/>
      <c r="AJ12" s="65"/>
      <c r="AK12" s="65"/>
      <c r="AL12" s="65"/>
      <c r="AM12" s="65"/>
      <c r="AN12" s="65"/>
      <c r="AO12" s="65">
        <v>5</v>
      </c>
      <c r="AP12" s="65"/>
      <c r="AQ12" s="65"/>
      <c r="AR12" s="65"/>
      <c r="AS12" s="65"/>
      <c r="AT12" s="65"/>
      <c r="AU12" s="65"/>
      <c r="AV12" s="65"/>
      <c r="AW12" s="65"/>
      <c r="AX12" s="65"/>
      <c r="AY12" s="65"/>
      <c r="AZ12" s="65"/>
      <c r="BA12" s="65"/>
      <c r="BB12" s="65">
        <v>5</v>
      </c>
      <c r="BC12" s="65"/>
      <c r="BD12" s="65"/>
      <c r="BE12" s="65"/>
      <c r="BF12" s="65"/>
      <c r="BG12" s="65"/>
      <c r="BH12" s="65"/>
      <c r="BI12" s="65"/>
      <c r="BJ12" s="65"/>
      <c r="BK12" s="65"/>
      <c r="BL12" s="65"/>
      <c r="BM12" s="65"/>
      <c r="BN12" s="65"/>
      <c r="BO12" s="65"/>
      <c r="BP12" s="65"/>
    </row>
    <row r="13" spans="2:68" s="66" customFormat="1" ht="23.25" customHeight="1" x14ac:dyDescent="0.15">
      <c r="B13" s="58"/>
      <c r="C13" s="55" t="s">
        <v>333</v>
      </c>
      <c r="D13" s="60" t="s">
        <v>11</v>
      </c>
      <c r="E13" s="60" t="s">
        <v>70</v>
      </c>
      <c r="F13" s="61" t="s">
        <v>13</v>
      </c>
      <c r="G13" s="61" t="s">
        <v>97</v>
      </c>
      <c r="H13" s="61" t="s">
        <v>347</v>
      </c>
      <c r="I13" s="81" t="s">
        <v>520</v>
      </c>
      <c r="J13" s="78" t="s">
        <v>162</v>
      </c>
      <c r="K13" s="59" t="s">
        <v>336</v>
      </c>
      <c r="L13" s="59" t="s">
        <v>503</v>
      </c>
      <c r="M13" s="59" t="s">
        <v>508</v>
      </c>
      <c r="N13" s="56"/>
      <c r="O13" s="62"/>
      <c r="P13" s="63"/>
      <c r="Q13" s="64">
        <v>1</v>
      </c>
      <c r="R13" s="65">
        <v>2</v>
      </c>
      <c r="S13" s="65"/>
      <c r="T13" s="65">
        <v>4</v>
      </c>
      <c r="U13" s="65"/>
      <c r="V13" s="65"/>
      <c r="W13" s="65"/>
      <c r="X13" s="65"/>
      <c r="Y13" s="65"/>
      <c r="Z13" s="65"/>
      <c r="AA13" s="65">
        <v>5</v>
      </c>
      <c r="AB13" s="65"/>
      <c r="AC13" s="65"/>
      <c r="AD13" s="65"/>
      <c r="AE13" s="65"/>
      <c r="AF13" s="65"/>
      <c r="AG13" s="65"/>
      <c r="AH13" s="65"/>
      <c r="AI13" s="65"/>
      <c r="AJ13" s="65"/>
      <c r="AK13" s="65"/>
      <c r="AL13" s="65"/>
      <c r="AM13" s="65"/>
      <c r="AN13" s="65"/>
      <c r="AO13" s="65">
        <v>5</v>
      </c>
      <c r="AP13" s="65"/>
      <c r="AQ13" s="65"/>
      <c r="AR13" s="65"/>
      <c r="AS13" s="65"/>
      <c r="AT13" s="65"/>
      <c r="AU13" s="65"/>
      <c r="AV13" s="65"/>
      <c r="AW13" s="65"/>
      <c r="AX13" s="65"/>
      <c r="AY13" s="65"/>
      <c r="AZ13" s="65"/>
      <c r="BA13" s="65"/>
      <c r="BB13" s="65">
        <v>5</v>
      </c>
      <c r="BC13" s="65"/>
      <c r="BD13" s="65"/>
      <c r="BE13" s="65"/>
      <c r="BF13" s="65"/>
      <c r="BG13" s="65"/>
      <c r="BH13" s="65"/>
      <c r="BI13" s="65"/>
      <c r="BJ13" s="65"/>
      <c r="BK13" s="65"/>
      <c r="BL13" s="65"/>
      <c r="BM13" s="65"/>
      <c r="BN13" s="65"/>
      <c r="BO13" s="65"/>
      <c r="BP13" s="65"/>
    </row>
    <row r="14" spans="2:68" ht="23.25" customHeight="1" x14ac:dyDescent="0.15">
      <c r="B14" s="33"/>
      <c r="C14" s="57" t="s">
        <v>99</v>
      </c>
      <c r="D14" s="46" t="s">
        <v>11</v>
      </c>
      <c r="E14" s="46" t="s">
        <v>70</v>
      </c>
      <c r="F14" s="43" t="s">
        <v>13</v>
      </c>
      <c r="G14" s="43" t="s">
        <v>97</v>
      </c>
      <c r="H14" s="47" t="s">
        <v>395</v>
      </c>
      <c r="I14" s="81" t="s">
        <v>521</v>
      </c>
      <c r="J14" s="77" t="s">
        <v>162</v>
      </c>
      <c r="K14" s="47"/>
      <c r="L14" s="45"/>
      <c r="M14" s="45"/>
      <c r="N14" s="47"/>
      <c r="O14" s="48"/>
      <c r="P14" s="37"/>
      <c r="Q14" s="38"/>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row>
    <row r="15" spans="2:68" s="66" customFormat="1" ht="23.25" customHeight="1" x14ac:dyDescent="0.15">
      <c r="B15" s="58"/>
      <c r="C15" s="55" t="s">
        <v>337</v>
      </c>
      <c r="D15" s="60" t="s">
        <v>11</v>
      </c>
      <c r="E15" s="60" t="s">
        <v>70</v>
      </c>
      <c r="F15" s="61" t="s">
        <v>13</v>
      </c>
      <c r="G15" s="61" t="s">
        <v>97</v>
      </c>
      <c r="H15" s="61" t="s">
        <v>348</v>
      </c>
      <c r="I15" s="81"/>
      <c r="J15" s="78" t="s">
        <v>162</v>
      </c>
      <c r="K15" s="59" t="s">
        <v>338</v>
      </c>
      <c r="L15" s="59" t="s">
        <v>504</v>
      </c>
      <c r="M15" s="59" t="s">
        <v>508</v>
      </c>
      <c r="N15" s="56"/>
      <c r="O15" s="62"/>
      <c r="P15" s="63"/>
      <c r="Q15" s="64"/>
      <c r="R15" s="65"/>
      <c r="S15" s="65"/>
      <c r="T15" s="65"/>
      <c r="U15" s="65"/>
      <c r="V15" s="65"/>
      <c r="W15" s="65"/>
      <c r="X15" s="65"/>
      <c r="Y15" s="65"/>
      <c r="Z15" s="65"/>
      <c r="AA15" s="65">
        <v>3</v>
      </c>
      <c r="AB15" s="65"/>
      <c r="AC15" s="65"/>
      <c r="AD15" s="65"/>
      <c r="AE15" s="65"/>
      <c r="AF15" s="65"/>
      <c r="AG15" s="65"/>
      <c r="AH15" s="65"/>
      <c r="AI15" s="65"/>
      <c r="AJ15" s="65"/>
      <c r="AK15" s="65"/>
      <c r="AL15" s="65"/>
      <c r="AM15" s="65"/>
      <c r="AN15" s="65"/>
      <c r="AO15" s="65">
        <v>3</v>
      </c>
      <c r="AP15" s="65"/>
      <c r="AQ15" s="65"/>
      <c r="AR15" s="65"/>
      <c r="AS15" s="65"/>
      <c r="AT15" s="65"/>
      <c r="AU15" s="65"/>
      <c r="AV15" s="65"/>
      <c r="AW15" s="65"/>
      <c r="AX15" s="65"/>
      <c r="AY15" s="65"/>
      <c r="AZ15" s="65"/>
      <c r="BA15" s="65"/>
      <c r="BB15" s="65">
        <v>3</v>
      </c>
      <c r="BC15" s="65"/>
      <c r="BD15" s="65"/>
      <c r="BE15" s="65"/>
      <c r="BF15" s="65"/>
      <c r="BG15" s="65"/>
      <c r="BH15" s="65"/>
      <c r="BI15" s="65"/>
      <c r="BJ15" s="65"/>
      <c r="BK15" s="65"/>
      <c r="BL15" s="65"/>
      <c r="BM15" s="65"/>
      <c r="BN15" s="65"/>
      <c r="BO15" s="65"/>
      <c r="BP15" s="65"/>
    </row>
    <row r="16" spans="2:68" s="66" customFormat="1" ht="23.25" customHeight="1" x14ac:dyDescent="0.15">
      <c r="B16" s="58"/>
      <c r="C16" s="55" t="s">
        <v>340</v>
      </c>
      <c r="D16" s="60" t="s">
        <v>11</v>
      </c>
      <c r="E16" s="60" t="s">
        <v>70</v>
      </c>
      <c r="F16" s="61" t="s">
        <v>13</v>
      </c>
      <c r="G16" s="61" t="s">
        <v>97</v>
      </c>
      <c r="H16" s="61" t="s">
        <v>339</v>
      </c>
      <c r="I16" s="81"/>
      <c r="J16" s="78" t="s">
        <v>162</v>
      </c>
      <c r="K16" s="59" t="s">
        <v>338</v>
      </c>
      <c r="L16" s="59" t="s">
        <v>527</v>
      </c>
      <c r="M16" s="59" t="s">
        <v>510</v>
      </c>
      <c r="N16" s="56"/>
      <c r="O16" s="62"/>
      <c r="P16" s="63"/>
      <c r="Q16" s="64"/>
      <c r="R16" s="65"/>
      <c r="S16" s="65"/>
      <c r="T16" s="65"/>
      <c r="U16" s="65"/>
      <c r="V16" s="65"/>
      <c r="W16" s="65"/>
      <c r="X16" s="65"/>
      <c r="Y16" s="65"/>
      <c r="Z16" s="65"/>
      <c r="AA16" s="65"/>
      <c r="AB16" s="65">
        <v>4</v>
      </c>
      <c r="AC16" s="65">
        <v>4</v>
      </c>
      <c r="AD16" s="65">
        <v>4</v>
      </c>
      <c r="AE16" s="65">
        <v>4</v>
      </c>
      <c r="AF16" s="65"/>
      <c r="AG16" s="65"/>
      <c r="AH16" s="65"/>
      <c r="AI16" s="65"/>
      <c r="AJ16" s="65"/>
      <c r="AK16" s="65"/>
      <c r="AL16" s="65"/>
      <c r="AM16" s="65"/>
      <c r="AN16" s="65"/>
      <c r="AO16" s="65"/>
      <c r="AP16" s="65">
        <v>4</v>
      </c>
      <c r="AQ16" s="65">
        <v>4</v>
      </c>
      <c r="AR16" s="65">
        <v>4</v>
      </c>
      <c r="AS16" s="65">
        <v>4</v>
      </c>
      <c r="AT16" s="65"/>
      <c r="AU16" s="65"/>
      <c r="AV16" s="65"/>
      <c r="AW16" s="65"/>
      <c r="AX16" s="65"/>
      <c r="AY16" s="65"/>
      <c r="AZ16" s="65"/>
      <c r="BA16" s="65"/>
      <c r="BB16" s="65"/>
      <c r="BC16" s="65">
        <v>4</v>
      </c>
      <c r="BD16" s="65">
        <v>4</v>
      </c>
      <c r="BE16" s="65">
        <v>4</v>
      </c>
      <c r="BF16" s="65">
        <v>4</v>
      </c>
      <c r="BG16" s="65"/>
      <c r="BH16" s="65"/>
      <c r="BI16" s="65"/>
      <c r="BJ16" s="65"/>
      <c r="BK16" s="65"/>
      <c r="BL16" s="65"/>
      <c r="BM16" s="65"/>
      <c r="BN16" s="65"/>
      <c r="BO16" s="65"/>
      <c r="BP16" s="65"/>
    </row>
    <row r="17" spans="2:68" s="66" customFormat="1" ht="23.25" customHeight="1" x14ac:dyDescent="0.15">
      <c r="B17" s="58"/>
      <c r="C17" s="55" t="s">
        <v>397</v>
      </c>
      <c r="D17" s="60" t="s">
        <v>11</v>
      </c>
      <c r="E17" s="60" t="s">
        <v>70</v>
      </c>
      <c r="F17" s="61" t="s">
        <v>13</v>
      </c>
      <c r="G17" s="61" t="s">
        <v>97</v>
      </c>
      <c r="H17" s="61" t="s">
        <v>349</v>
      </c>
      <c r="I17" s="81"/>
      <c r="J17" s="78" t="s">
        <v>162</v>
      </c>
      <c r="K17" s="59" t="s">
        <v>338</v>
      </c>
      <c r="L17" s="59" t="s">
        <v>504</v>
      </c>
      <c r="M17" s="59" t="s">
        <v>508</v>
      </c>
      <c r="N17" s="56"/>
      <c r="O17" s="62"/>
      <c r="P17" s="63"/>
      <c r="Q17" s="64"/>
      <c r="R17" s="65"/>
      <c r="S17" s="65"/>
      <c r="T17" s="65"/>
      <c r="U17" s="65"/>
      <c r="V17" s="65"/>
      <c r="W17" s="65"/>
      <c r="X17" s="65"/>
      <c r="Y17" s="65"/>
      <c r="Z17" s="65"/>
      <c r="AA17" s="65">
        <v>5</v>
      </c>
      <c r="AB17" s="65"/>
      <c r="AC17" s="65"/>
      <c r="AD17" s="65"/>
      <c r="AE17" s="65"/>
      <c r="AF17" s="65"/>
      <c r="AG17" s="65"/>
      <c r="AH17" s="65"/>
      <c r="AI17" s="65"/>
      <c r="AJ17" s="65"/>
      <c r="AK17" s="65"/>
      <c r="AL17" s="65"/>
      <c r="AM17" s="65"/>
      <c r="AN17" s="65"/>
      <c r="AO17" s="65">
        <v>5</v>
      </c>
      <c r="AP17" s="65"/>
      <c r="AQ17" s="65"/>
      <c r="AR17" s="65"/>
      <c r="AS17" s="65"/>
      <c r="AT17" s="65"/>
      <c r="AU17" s="65"/>
      <c r="AV17" s="65"/>
      <c r="AW17" s="65"/>
      <c r="AX17" s="65"/>
      <c r="AY17" s="65"/>
      <c r="AZ17" s="65"/>
      <c r="BA17" s="65"/>
      <c r="BB17" s="65">
        <v>5</v>
      </c>
      <c r="BC17" s="65"/>
      <c r="BD17" s="65"/>
      <c r="BE17" s="65"/>
      <c r="BF17" s="65"/>
      <c r="BG17" s="65"/>
      <c r="BH17" s="65"/>
      <c r="BI17" s="65"/>
      <c r="BJ17" s="65"/>
      <c r="BK17" s="65"/>
      <c r="BL17" s="65"/>
      <c r="BM17" s="65"/>
      <c r="BN17" s="65"/>
      <c r="BO17" s="65"/>
      <c r="BP17" s="65"/>
    </row>
    <row r="18" spans="2:68" s="52" customFormat="1" ht="23.25" customHeight="1" x14ac:dyDescent="0.15">
      <c r="B18" s="44"/>
      <c r="C18" s="67" t="s">
        <v>342</v>
      </c>
      <c r="D18" s="46" t="s">
        <v>11</v>
      </c>
      <c r="E18" s="46" t="s">
        <v>70</v>
      </c>
      <c r="F18" s="43" t="s">
        <v>13</v>
      </c>
      <c r="G18" s="43" t="s">
        <v>97</v>
      </c>
      <c r="H18" s="47" t="s">
        <v>396</v>
      </c>
      <c r="I18" s="81" t="s">
        <v>522</v>
      </c>
      <c r="J18" s="77" t="s">
        <v>162</v>
      </c>
      <c r="K18" s="45"/>
      <c r="L18" s="45"/>
      <c r="M18" s="45"/>
      <c r="N18" s="45"/>
      <c r="O18" s="69"/>
      <c r="P18" s="49"/>
      <c r="Q18" s="50"/>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row>
    <row r="19" spans="2:68" ht="23.25" customHeight="1" x14ac:dyDescent="0.15">
      <c r="B19" s="58"/>
      <c r="C19" s="70" t="s">
        <v>343</v>
      </c>
      <c r="D19" s="60" t="s">
        <v>11</v>
      </c>
      <c r="E19" s="60" t="s">
        <v>70</v>
      </c>
      <c r="F19" s="61" t="s">
        <v>13</v>
      </c>
      <c r="G19" s="61" t="s">
        <v>97</v>
      </c>
      <c r="H19" s="56" t="s">
        <v>341</v>
      </c>
      <c r="I19" s="81"/>
      <c r="J19" s="78" t="s">
        <v>162</v>
      </c>
      <c r="K19" s="59" t="s">
        <v>335</v>
      </c>
      <c r="L19" s="59" t="s">
        <v>504</v>
      </c>
      <c r="M19" s="59" t="s">
        <v>508</v>
      </c>
      <c r="N19" s="59"/>
      <c r="O19" s="62"/>
      <c r="P19" s="37"/>
      <c r="Q19" s="38"/>
      <c r="R19" s="39"/>
      <c r="S19" s="39"/>
      <c r="T19" s="39"/>
      <c r="U19" s="39"/>
      <c r="V19" s="39"/>
      <c r="W19" s="39"/>
      <c r="X19" s="39"/>
      <c r="Y19" s="39"/>
      <c r="Z19" s="39"/>
      <c r="AA19" s="65">
        <v>3</v>
      </c>
      <c r="AB19" s="65"/>
      <c r="AC19" s="65"/>
      <c r="AD19" s="65"/>
      <c r="AE19" s="65"/>
      <c r="AF19" s="65"/>
      <c r="AG19" s="65"/>
      <c r="AH19" s="65"/>
      <c r="AI19" s="65"/>
      <c r="AJ19" s="65"/>
      <c r="AK19" s="65"/>
      <c r="AL19" s="65"/>
      <c r="AM19" s="65"/>
      <c r="AN19" s="65"/>
      <c r="AO19" s="65">
        <v>3</v>
      </c>
      <c r="AP19" s="65"/>
      <c r="AQ19" s="65"/>
      <c r="AR19" s="65"/>
      <c r="AS19" s="65"/>
      <c r="AT19" s="65"/>
      <c r="AU19" s="65"/>
      <c r="AV19" s="65"/>
      <c r="AW19" s="65"/>
      <c r="AX19" s="65"/>
      <c r="AY19" s="65"/>
      <c r="AZ19" s="65"/>
      <c r="BA19" s="65"/>
      <c r="BB19" s="65">
        <v>3</v>
      </c>
      <c r="BC19" s="65"/>
      <c r="BD19" s="65"/>
      <c r="BE19" s="65"/>
      <c r="BF19" s="65"/>
      <c r="BG19" s="39"/>
      <c r="BH19" s="39"/>
      <c r="BI19" s="39"/>
      <c r="BJ19" s="39"/>
      <c r="BK19" s="39"/>
      <c r="BL19" s="39"/>
      <c r="BM19" s="39"/>
      <c r="BN19" s="39"/>
      <c r="BO19" s="39"/>
      <c r="BP19" s="39"/>
    </row>
    <row r="20" spans="2:68" ht="23.25" customHeight="1" x14ac:dyDescent="0.15">
      <c r="B20" s="58"/>
      <c r="C20" s="70" t="s">
        <v>344</v>
      </c>
      <c r="D20" s="60" t="s">
        <v>11</v>
      </c>
      <c r="E20" s="60" t="s">
        <v>70</v>
      </c>
      <c r="F20" s="61" t="s">
        <v>13</v>
      </c>
      <c r="G20" s="61" t="s">
        <v>97</v>
      </c>
      <c r="H20" s="61" t="s">
        <v>339</v>
      </c>
      <c r="I20" s="81"/>
      <c r="J20" s="78" t="s">
        <v>162</v>
      </c>
      <c r="K20" s="59"/>
      <c r="L20" s="59" t="s">
        <v>527</v>
      </c>
      <c r="M20" s="59" t="s">
        <v>510</v>
      </c>
      <c r="N20" s="59"/>
      <c r="O20" s="62"/>
      <c r="P20" s="37"/>
      <c r="Q20" s="38"/>
      <c r="R20" s="39"/>
      <c r="S20" s="39"/>
      <c r="T20" s="39"/>
      <c r="U20" s="39"/>
      <c r="V20" s="39"/>
      <c r="W20" s="39"/>
      <c r="X20" s="39"/>
      <c r="Y20" s="39"/>
      <c r="Z20" s="39"/>
      <c r="AA20" s="65"/>
      <c r="AB20" s="65">
        <v>4</v>
      </c>
      <c r="AC20" s="65">
        <v>4</v>
      </c>
      <c r="AD20" s="65">
        <v>4</v>
      </c>
      <c r="AE20" s="65">
        <v>4</v>
      </c>
      <c r="AF20" s="65"/>
      <c r="AG20" s="65"/>
      <c r="AH20" s="65"/>
      <c r="AI20" s="65"/>
      <c r="AJ20" s="65"/>
      <c r="AK20" s="65"/>
      <c r="AL20" s="65"/>
      <c r="AM20" s="65"/>
      <c r="AN20" s="65"/>
      <c r="AO20" s="65"/>
      <c r="AP20" s="65">
        <v>4</v>
      </c>
      <c r="AQ20" s="65">
        <v>4</v>
      </c>
      <c r="AR20" s="65">
        <v>4</v>
      </c>
      <c r="AS20" s="65">
        <v>4</v>
      </c>
      <c r="AT20" s="65"/>
      <c r="AU20" s="65"/>
      <c r="AV20" s="65"/>
      <c r="AW20" s="65"/>
      <c r="AX20" s="65"/>
      <c r="AY20" s="65"/>
      <c r="AZ20" s="65"/>
      <c r="BA20" s="65"/>
      <c r="BB20" s="65"/>
      <c r="BC20" s="65">
        <v>4</v>
      </c>
      <c r="BD20" s="65">
        <v>4</v>
      </c>
      <c r="BE20" s="65">
        <v>4</v>
      </c>
      <c r="BF20" s="65">
        <v>4</v>
      </c>
      <c r="BG20" s="39"/>
      <c r="BH20" s="39"/>
      <c r="BI20" s="39"/>
      <c r="BJ20" s="39"/>
      <c r="BK20" s="39"/>
      <c r="BL20" s="39"/>
      <c r="BM20" s="39"/>
      <c r="BN20" s="39"/>
      <c r="BO20" s="39"/>
      <c r="BP20" s="39"/>
    </row>
    <row r="21" spans="2:68" ht="23.25" customHeight="1" x14ac:dyDescent="0.15">
      <c r="B21" s="58"/>
      <c r="C21" s="70" t="s">
        <v>345</v>
      </c>
      <c r="D21" s="60" t="s">
        <v>11</v>
      </c>
      <c r="E21" s="60" t="s">
        <v>70</v>
      </c>
      <c r="F21" s="61" t="s">
        <v>13</v>
      </c>
      <c r="G21" s="61" t="s">
        <v>97</v>
      </c>
      <c r="H21" s="61" t="s">
        <v>349</v>
      </c>
      <c r="I21" s="81"/>
      <c r="J21" s="78" t="s">
        <v>162</v>
      </c>
      <c r="K21" s="59" t="s">
        <v>338</v>
      </c>
      <c r="L21" s="59" t="s">
        <v>504</v>
      </c>
      <c r="M21" s="59" t="s">
        <v>508</v>
      </c>
      <c r="N21" s="59"/>
      <c r="O21" s="62"/>
      <c r="P21" s="37"/>
      <c r="Q21" s="38"/>
      <c r="R21" s="39"/>
      <c r="S21" s="39"/>
      <c r="T21" s="39"/>
      <c r="U21" s="39"/>
      <c r="V21" s="39"/>
      <c r="W21" s="39"/>
      <c r="X21" s="39"/>
      <c r="Y21" s="39"/>
      <c r="Z21" s="39"/>
      <c r="AA21" s="65">
        <v>5</v>
      </c>
      <c r="AB21" s="65"/>
      <c r="AC21" s="65"/>
      <c r="AD21" s="65"/>
      <c r="AE21" s="65"/>
      <c r="AF21" s="65"/>
      <c r="AG21" s="65"/>
      <c r="AH21" s="65"/>
      <c r="AI21" s="65"/>
      <c r="AJ21" s="65"/>
      <c r="AK21" s="65"/>
      <c r="AL21" s="65"/>
      <c r="AM21" s="65"/>
      <c r="AN21" s="65"/>
      <c r="AO21" s="65">
        <v>5</v>
      </c>
      <c r="AP21" s="65"/>
      <c r="AQ21" s="65"/>
      <c r="AR21" s="65"/>
      <c r="AS21" s="65"/>
      <c r="AT21" s="65"/>
      <c r="AU21" s="65"/>
      <c r="AV21" s="65"/>
      <c r="AW21" s="65"/>
      <c r="AX21" s="65"/>
      <c r="AY21" s="65"/>
      <c r="AZ21" s="65"/>
      <c r="BA21" s="65"/>
      <c r="BB21" s="65">
        <v>5</v>
      </c>
      <c r="BC21" s="65"/>
      <c r="BD21" s="65"/>
      <c r="BE21" s="65"/>
      <c r="BF21" s="65"/>
      <c r="BG21" s="39"/>
      <c r="BH21" s="39"/>
      <c r="BI21" s="39"/>
      <c r="BJ21" s="39"/>
      <c r="BK21" s="39"/>
      <c r="BL21" s="39"/>
      <c r="BM21" s="39"/>
      <c r="BN21" s="39"/>
      <c r="BO21" s="39"/>
      <c r="BP21" s="39"/>
    </row>
    <row r="22" spans="2:68" s="66" customFormat="1" ht="23.25" customHeight="1" x14ac:dyDescent="0.15">
      <c r="B22" s="33"/>
      <c r="C22" s="73" t="s">
        <v>393</v>
      </c>
      <c r="D22" s="60" t="s">
        <v>11</v>
      </c>
      <c r="E22" s="60" t="s">
        <v>70</v>
      </c>
      <c r="F22" s="61" t="s">
        <v>13</v>
      </c>
      <c r="G22" s="61" t="s">
        <v>97</v>
      </c>
      <c r="H22" s="47" t="s">
        <v>398</v>
      </c>
      <c r="I22" s="81" t="s">
        <v>523</v>
      </c>
      <c r="J22" s="79" t="s">
        <v>162</v>
      </c>
      <c r="K22" s="35"/>
      <c r="L22" s="34"/>
      <c r="M22" s="34"/>
      <c r="N22" s="35"/>
      <c r="O22" s="68"/>
      <c r="P22" s="37"/>
      <c r="Q22" s="38"/>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row>
    <row r="23" spans="2:68" s="66" customFormat="1" ht="23.25" customHeight="1" x14ac:dyDescent="0.15">
      <c r="B23" s="33"/>
      <c r="C23" s="70" t="s">
        <v>394</v>
      </c>
      <c r="D23" s="60" t="s">
        <v>11</v>
      </c>
      <c r="E23" s="60" t="s">
        <v>70</v>
      </c>
      <c r="F23" s="61" t="s">
        <v>13</v>
      </c>
      <c r="G23" s="61" t="s">
        <v>97</v>
      </c>
      <c r="H23" s="35" t="s">
        <v>353</v>
      </c>
      <c r="I23" s="81"/>
      <c r="J23" s="79" t="s">
        <v>162</v>
      </c>
      <c r="K23" s="35"/>
      <c r="L23" s="34" t="s">
        <v>517</v>
      </c>
      <c r="M23" s="34" t="s">
        <v>514</v>
      </c>
      <c r="N23" s="84"/>
      <c r="O23" s="68"/>
      <c r="P23" s="64">
        <v>1</v>
      </c>
      <c r="Q23" s="65">
        <v>2</v>
      </c>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row>
    <row r="24" spans="2:68" s="66" customFormat="1" ht="23.25" customHeight="1" x14ac:dyDescent="0.15">
      <c r="B24" s="58"/>
      <c r="C24" s="70" t="s">
        <v>402</v>
      </c>
      <c r="D24" s="60" t="s">
        <v>11</v>
      </c>
      <c r="E24" s="60" t="s">
        <v>70</v>
      </c>
      <c r="F24" s="61" t="s">
        <v>13</v>
      </c>
      <c r="G24" s="61" t="s">
        <v>97</v>
      </c>
      <c r="H24" s="56" t="s">
        <v>399</v>
      </c>
      <c r="I24" s="81"/>
      <c r="J24" s="78" t="s">
        <v>162</v>
      </c>
      <c r="K24" s="59" t="s">
        <v>334</v>
      </c>
      <c r="L24" s="34" t="s">
        <v>517</v>
      </c>
      <c r="M24" s="34" t="s">
        <v>514</v>
      </c>
      <c r="N24" s="59"/>
      <c r="O24" s="62"/>
      <c r="P24" s="63"/>
      <c r="Q24" s="64"/>
      <c r="R24" s="65">
        <v>4</v>
      </c>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row>
    <row r="25" spans="2:68" ht="23.25" customHeight="1" x14ac:dyDescent="0.15">
      <c r="B25" s="33"/>
      <c r="C25" s="73" t="s">
        <v>403</v>
      </c>
      <c r="D25" s="46" t="s">
        <v>11</v>
      </c>
      <c r="E25" s="46" t="s">
        <v>70</v>
      </c>
      <c r="F25" s="43" t="s">
        <v>13</v>
      </c>
      <c r="G25" s="43" t="s">
        <v>97</v>
      </c>
      <c r="H25" s="47" t="s">
        <v>352</v>
      </c>
      <c r="I25" s="81" t="s">
        <v>524</v>
      </c>
      <c r="J25" s="77" t="s">
        <v>162</v>
      </c>
      <c r="K25" s="47"/>
      <c r="L25" s="45"/>
      <c r="M25" s="45"/>
      <c r="N25" s="47"/>
      <c r="O25" s="48"/>
      <c r="P25" s="37"/>
      <c r="Q25" s="38"/>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row>
    <row r="26" spans="2:68" s="66" customFormat="1" ht="23.25" customHeight="1" x14ac:dyDescent="0.15">
      <c r="B26" s="58"/>
      <c r="C26" s="70" t="s">
        <v>404</v>
      </c>
      <c r="D26" s="60" t="s">
        <v>11</v>
      </c>
      <c r="E26" s="60" t="s">
        <v>70</v>
      </c>
      <c r="F26" s="61" t="s">
        <v>13</v>
      </c>
      <c r="G26" s="61" t="s">
        <v>97</v>
      </c>
      <c r="H26" s="56" t="s">
        <v>400</v>
      </c>
      <c r="I26" s="81"/>
      <c r="J26" s="78" t="s">
        <v>162</v>
      </c>
      <c r="K26" s="59" t="s">
        <v>334</v>
      </c>
      <c r="L26" s="59" t="s">
        <v>503</v>
      </c>
      <c r="M26" s="59" t="s">
        <v>514</v>
      </c>
      <c r="N26" s="59"/>
      <c r="O26" s="62"/>
      <c r="P26" s="64">
        <v>1</v>
      </c>
      <c r="Q26" s="65">
        <v>2</v>
      </c>
      <c r="R26" s="65"/>
      <c r="S26" s="65">
        <v>3</v>
      </c>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row>
    <row r="27" spans="2:68" s="66" customFormat="1" ht="23.25" customHeight="1" x14ac:dyDescent="0.15">
      <c r="B27" s="58"/>
      <c r="C27" s="70" t="s">
        <v>405</v>
      </c>
      <c r="D27" s="60" t="s">
        <v>11</v>
      </c>
      <c r="E27" s="60" t="s">
        <v>70</v>
      </c>
      <c r="F27" s="61" t="s">
        <v>13</v>
      </c>
      <c r="G27" s="61" t="s">
        <v>97</v>
      </c>
      <c r="H27" s="56" t="s">
        <v>401</v>
      </c>
      <c r="I27" s="81"/>
      <c r="J27" s="78" t="s">
        <v>162</v>
      </c>
      <c r="K27" s="59" t="s">
        <v>335</v>
      </c>
      <c r="L27" s="59" t="s">
        <v>516</v>
      </c>
      <c r="M27" s="59" t="s">
        <v>508</v>
      </c>
      <c r="N27" s="59"/>
      <c r="O27" s="62"/>
      <c r="P27" s="37"/>
      <c r="Q27" s="38"/>
      <c r="R27" s="39"/>
      <c r="S27" s="39"/>
      <c r="T27" s="39">
        <v>5</v>
      </c>
      <c r="U27" s="39"/>
      <c r="V27" s="39"/>
      <c r="W27" s="39"/>
      <c r="X27" s="39"/>
      <c r="Y27" s="39"/>
      <c r="Z27" s="39"/>
      <c r="AA27" s="39">
        <v>5</v>
      </c>
      <c r="AB27" s="39"/>
      <c r="AC27" s="39"/>
      <c r="AD27" s="39"/>
      <c r="AE27" s="39"/>
      <c r="AF27" s="39"/>
      <c r="AG27" s="39"/>
      <c r="AH27" s="39"/>
      <c r="AI27" s="39"/>
      <c r="AJ27" s="39"/>
      <c r="AK27" s="39"/>
      <c r="AL27" s="39"/>
      <c r="AM27" s="39"/>
      <c r="AN27" s="39"/>
      <c r="AO27" s="39">
        <v>5</v>
      </c>
      <c r="AP27" s="39"/>
      <c r="AQ27" s="39"/>
      <c r="AR27" s="39"/>
      <c r="AS27" s="39"/>
      <c r="AT27" s="39"/>
      <c r="AU27" s="39"/>
      <c r="AV27" s="39"/>
      <c r="AW27" s="39"/>
      <c r="AX27" s="39"/>
      <c r="AY27" s="39"/>
      <c r="AZ27" s="39"/>
      <c r="BA27" s="39"/>
      <c r="BB27" s="39">
        <v>5</v>
      </c>
      <c r="BC27" s="39"/>
      <c r="BD27" s="39"/>
      <c r="BE27" s="39"/>
      <c r="BF27" s="39"/>
      <c r="BG27" s="39"/>
      <c r="BH27" s="39"/>
      <c r="BI27" s="39"/>
      <c r="BJ27" s="39"/>
      <c r="BK27" s="39"/>
      <c r="BL27" s="39"/>
      <c r="BM27" s="39"/>
      <c r="BN27" s="39"/>
      <c r="BO27" s="39"/>
      <c r="BP27" s="39"/>
    </row>
    <row r="28" spans="2:68" s="52" customFormat="1" ht="23.25" customHeight="1" x14ac:dyDescent="0.15">
      <c r="B28" s="44"/>
      <c r="C28" s="73" t="s">
        <v>406</v>
      </c>
      <c r="D28" s="46" t="s">
        <v>11</v>
      </c>
      <c r="E28" s="46" t="s">
        <v>70</v>
      </c>
      <c r="F28" s="43" t="s">
        <v>13</v>
      </c>
      <c r="G28" s="43" t="s">
        <v>97</v>
      </c>
      <c r="H28" s="47" t="s">
        <v>350</v>
      </c>
      <c r="I28" s="81" t="s">
        <v>525</v>
      </c>
      <c r="J28" s="77" t="s">
        <v>162</v>
      </c>
      <c r="K28" s="47"/>
      <c r="L28" s="45"/>
      <c r="M28" s="45"/>
      <c r="N28" s="47"/>
      <c r="O28" s="69"/>
      <c r="P28" s="49"/>
      <c r="Q28" s="50"/>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row>
    <row r="29" spans="2:68" s="66" customFormat="1" ht="23.25" customHeight="1" x14ac:dyDescent="0.15">
      <c r="B29" s="33"/>
      <c r="C29" s="70" t="s">
        <v>407</v>
      </c>
      <c r="D29" s="60" t="s">
        <v>11</v>
      </c>
      <c r="E29" s="60" t="s">
        <v>70</v>
      </c>
      <c r="F29" s="61" t="s">
        <v>13</v>
      </c>
      <c r="G29" s="61" t="s">
        <v>97</v>
      </c>
      <c r="H29" s="56" t="s">
        <v>351</v>
      </c>
      <c r="I29" s="81"/>
      <c r="J29" s="79" t="s">
        <v>162</v>
      </c>
      <c r="K29" s="35"/>
      <c r="L29" s="34" t="s">
        <v>516</v>
      </c>
      <c r="M29" s="34" t="s">
        <v>528</v>
      </c>
      <c r="N29" s="35"/>
      <c r="O29" s="68"/>
      <c r="P29" s="37"/>
      <c r="Q29" s="38"/>
      <c r="R29" s="39"/>
      <c r="S29" s="39"/>
      <c r="T29" s="39">
        <v>4</v>
      </c>
      <c r="U29" s="51"/>
      <c r="V29" s="39">
        <v>4</v>
      </c>
      <c r="W29" s="39"/>
      <c r="X29" s="39"/>
      <c r="Y29" s="39"/>
      <c r="Z29" s="39"/>
      <c r="AA29" s="39">
        <v>4</v>
      </c>
      <c r="AB29" s="39"/>
      <c r="AC29" s="39"/>
      <c r="AD29" s="39"/>
      <c r="AE29" s="39">
        <v>4</v>
      </c>
      <c r="AF29" s="39"/>
      <c r="AG29" s="39"/>
      <c r="AH29" s="39"/>
      <c r="AI29" s="39"/>
      <c r="AJ29" s="39">
        <v>4</v>
      </c>
      <c r="AK29" s="39"/>
      <c r="AL29" s="39"/>
      <c r="AM29" s="39"/>
      <c r="AN29" s="39"/>
      <c r="AO29" s="39">
        <v>4</v>
      </c>
      <c r="AP29" s="39"/>
      <c r="AQ29" s="39"/>
      <c r="AR29" s="39"/>
      <c r="AS29" s="39">
        <v>4</v>
      </c>
      <c r="AT29" s="39"/>
      <c r="AU29" s="39"/>
      <c r="AV29" s="39"/>
      <c r="AW29" s="39">
        <v>4</v>
      </c>
      <c r="AX29" s="39"/>
      <c r="AY29" s="39"/>
      <c r="AZ29" s="39"/>
      <c r="BA29" s="39"/>
      <c r="BB29" s="39">
        <v>4</v>
      </c>
      <c r="BC29" s="39"/>
      <c r="BD29" s="39"/>
      <c r="BE29" s="39">
        <v>4</v>
      </c>
      <c r="BF29" s="39"/>
      <c r="BG29" s="39"/>
      <c r="BH29" s="39"/>
      <c r="BI29" s="39"/>
      <c r="BJ29" s="39"/>
      <c r="BK29" s="39"/>
      <c r="BL29" s="39"/>
      <c r="BM29" s="39"/>
      <c r="BN29" s="39"/>
      <c r="BO29" s="39"/>
      <c r="BP29" s="39"/>
    </row>
    <row r="30" spans="2:68" ht="63" x14ac:dyDescent="0.15">
      <c r="B30" s="33"/>
      <c r="C30" s="34">
        <v>2</v>
      </c>
      <c r="D30" s="40" t="s">
        <v>145</v>
      </c>
      <c r="E30" s="40" t="s">
        <v>78</v>
      </c>
      <c r="F30" s="41" t="s">
        <v>13</v>
      </c>
      <c r="G30" s="41" t="s">
        <v>152</v>
      </c>
      <c r="H30" s="41" t="s">
        <v>153</v>
      </c>
      <c r="I30" s="71" t="s">
        <v>346</v>
      </c>
      <c r="J30" s="35" t="s">
        <v>163</v>
      </c>
      <c r="K30" s="35"/>
      <c r="L30" s="34"/>
      <c r="M30" s="34"/>
      <c r="N30" s="35"/>
      <c r="O30" s="36"/>
      <c r="P30" s="37"/>
      <c r="Q30" s="38"/>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row>
    <row r="31" spans="2:68" s="52" customFormat="1" ht="23.25" customHeight="1" x14ac:dyDescent="0.15">
      <c r="B31" s="44"/>
      <c r="C31" s="45" t="s">
        <v>84</v>
      </c>
      <c r="D31" s="46" t="s">
        <v>145</v>
      </c>
      <c r="E31" s="46" t="s">
        <v>78</v>
      </c>
      <c r="F31" s="43" t="s">
        <v>13</v>
      </c>
      <c r="G31" s="43" t="s">
        <v>153</v>
      </c>
      <c r="H31" s="47" t="s">
        <v>408</v>
      </c>
      <c r="I31" s="74"/>
      <c r="J31" s="47" t="s">
        <v>163</v>
      </c>
      <c r="K31" s="47"/>
      <c r="L31" s="45"/>
      <c r="M31" s="45"/>
      <c r="N31" s="47"/>
      <c r="O31" s="48"/>
      <c r="P31" s="49"/>
      <c r="Q31" s="50"/>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row>
    <row r="32" spans="2:68" ht="23.25" customHeight="1" x14ac:dyDescent="0.15">
      <c r="B32" s="33"/>
      <c r="C32" s="34" t="s">
        <v>121</v>
      </c>
      <c r="D32" s="40" t="s">
        <v>145</v>
      </c>
      <c r="E32" s="40" t="s">
        <v>78</v>
      </c>
      <c r="F32" s="41" t="s">
        <v>13</v>
      </c>
      <c r="G32" s="41" t="s">
        <v>153</v>
      </c>
      <c r="H32" s="35" t="s">
        <v>409</v>
      </c>
      <c r="I32" s="71"/>
      <c r="J32" s="35" t="s">
        <v>163</v>
      </c>
      <c r="K32" s="35" t="s">
        <v>327</v>
      </c>
      <c r="L32" s="34" t="s">
        <v>517</v>
      </c>
      <c r="M32" s="34" t="s">
        <v>503</v>
      </c>
      <c r="N32" s="35"/>
      <c r="O32" s="36"/>
      <c r="P32" s="64">
        <v>1</v>
      </c>
      <c r="Q32" s="38">
        <v>2</v>
      </c>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row>
    <row r="33" spans="2:68" ht="23.25" customHeight="1" x14ac:dyDescent="0.15">
      <c r="B33" s="33"/>
      <c r="C33" s="34" t="s">
        <v>301</v>
      </c>
      <c r="D33" s="40" t="s">
        <v>145</v>
      </c>
      <c r="E33" s="40" t="s">
        <v>78</v>
      </c>
      <c r="F33" s="41" t="s">
        <v>13</v>
      </c>
      <c r="G33" s="41" t="s">
        <v>153</v>
      </c>
      <c r="H33" s="35" t="s">
        <v>410</v>
      </c>
      <c r="I33" s="71"/>
      <c r="J33" s="35" t="s">
        <v>163</v>
      </c>
      <c r="K33" s="35" t="s">
        <v>327</v>
      </c>
      <c r="L33" s="34" t="s">
        <v>513</v>
      </c>
      <c r="M33" s="34" t="s">
        <v>516</v>
      </c>
      <c r="N33" s="35"/>
      <c r="O33" s="36"/>
      <c r="P33" s="37"/>
      <c r="Q33" s="38"/>
      <c r="R33" s="39">
        <v>4</v>
      </c>
      <c r="S33" s="39"/>
      <c r="T33" s="39">
        <v>4</v>
      </c>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row>
    <row r="34" spans="2:68" ht="23.25" customHeight="1" x14ac:dyDescent="0.15">
      <c r="B34" s="33"/>
      <c r="C34" s="34" t="s">
        <v>302</v>
      </c>
      <c r="D34" s="40" t="s">
        <v>145</v>
      </c>
      <c r="E34" s="40" t="s">
        <v>78</v>
      </c>
      <c r="F34" s="41" t="s">
        <v>13</v>
      </c>
      <c r="G34" s="41" t="s">
        <v>153</v>
      </c>
      <c r="H34" s="35" t="s">
        <v>411</v>
      </c>
      <c r="I34" s="71"/>
      <c r="J34" s="35" t="s">
        <v>163</v>
      </c>
      <c r="K34" s="35" t="s">
        <v>327</v>
      </c>
      <c r="L34" s="34" t="s">
        <v>529</v>
      </c>
      <c r="M34" s="34" t="s">
        <v>530</v>
      </c>
      <c r="N34" s="35"/>
      <c r="O34" s="36"/>
      <c r="P34" s="37"/>
      <c r="Q34" s="38"/>
      <c r="R34" s="39"/>
      <c r="S34" s="39"/>
      <c r="T34" s="39"/>
      <c r="U34" s="39">
        <v>4</v>
      </c>
      <c r="V34" s="39">
        <v>4</v>
      </c>
      <c r="W34" s="39">
        <v>4</v>
      </c>
      <c r="X34" s="39">
        <v>4</v>
      </c>
      <c r="Y34" s="39">
        <v>4</v>
      </c>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row>
    <row r="35" spans="2:68" ht="23.25" customHeight="1" x14ac:dyDescent="0.15">
      <c r="B35" s="33"/>
      <c r="C35" s="34" t="s">
        <v>303</v>
      </c>
      <c r="D35" s="40" t="s">
        <v>145</v>
      </c>
      <c r="E35" s="40" t="s">
        <v>78</v>
      </c>
      <c r="F35" s="41" t="s">
        <v>13</v>
      </c>
      <c r="G35" s="41" t="s">
        <v>153</v>
      </c>
      <c r="H35" s="35" t="s">
        <v>412</v>
      </c>
      <c r="I35" s="71"/>
      <c r="J35" s="35" t="s">
        <v>163</v>
      </c>
      <c r="K35" s="35" t="s">
        <v>327</v>
      </c>
      <c r="L35" s="34" t="s">
        <v>509</v>
      </c>
      <c r="M35" s="34" t="s">
        <v>531</v>
      </c>
      <c r="N35" s="35"/>
      <c r="O35" s="36"/>
      <c r="P35" s="37"/>
      <c r="Q35" s="38"/>
      <c r="R35" s="39"/>
      <c r="S35" s="39"/>
      <c r="T35" s="39"/>
      <c r="U35" s="39"/>
      <c r="V35" s="39"/>
      <c r="W35" s="39"/>
      <c r="X35" s="39"/>
      <c r="Y35" s="39"/>
      <c r="Z35" s="39">
        <v>5</v>
      </c>
      <c r="AA35" s="39">
        <v>5</v>
      </c>
      <c r="AB35" s="39">
        <v>5</v>
      </c>
      <c r="AC35" s="39">
        <v>5</v>
      </c>
      <c r="AD35" s="39">
        <v>5</v>
      </c>
      <c r="AE35" s="39">
        <v>5</v>
      </c>
      <c r="AF35" s="39">
        <v>5</v>
      </c>
      <c r="AG35" s="39">
        <v>5</v>
      </c>
      <c r="AH35" s="39">
        <v>5</v>
      </c>
      <c r="AI35" s="39">
        <v>5</v>
      </c>
      <c r="AJ35" s="39">
        <v>5</v>
      </c>
      <c r="AK35" s="39">
        <v>5</v>
      </c>
      <c r="AL35" s="39">
        <v>5</v>
      </c>
      <c r="AM35" s="39">
        <v>5</v>
      </c>
      <c r="AN35" s="39">
        <v>5</v>
      </c>
      <c r="AO35" s="39">
        <v>5</v>
      </c>
      <c r="AP35" s="39">
        <v>5</v>
      </c>
      <c r="AQ35" s="39">
        <v>5</v>
      </c>
      <c r="AR35" s="39">
        <v>5</v>
      </c>
      <c r="AS35" s="39">
        <v>5</v>
      </c>
      <c r="AT35" s="39">
        <v>5</v>
      </c>
      <c r="AU35" s="39">
        <v>5</v>
      </c>
      <c r="AV35" s="39">
        <v>5</v>
      </c>
      <c r="AW35" s="39">
        <v>5</v>
      </c>
      <c r="AX35" s="39">
        <v>5</v>
      </c>
      <c r="AY35" s="39">
        <v>5</v>
      </c>
      <c r="AZ35" s="39"/>
      <c r="BA35" s="39"/>
      <c r="BB35" s="39"/>
      <c r="BC35" s="39"/>
      <c r="BD35" s="39"/>
      <c r="BE35" s="39"/>
      <c r="BF35" s="39"/>
      <c r="BG35" s="39"/>
      <c r="BH35" s="39"/>
      <c r="BI35" s="39"/>
      <c r="BJ35" s="39"/>
      <c r="BK35" s="39"/>
      <c r="BL35" s="39"/>
      <c r="BM35" s="39"/>
      <c r="BN35" s="39"/>
      <c r="BO35" s="39"/>
      <c r="BP35" s="39"/>
    </row>
    <row r="36" spans="2:68" s="52" customFormat="1" ht="23.25" customHeight="1" x14ac:dyDescent="0.15">
      <c r="B36" s="44"/>
      <c r="C36" s="45" t="s">
        <v>304</v>
      </c>
      <c r="D36" s="46" t="s">
        <v>145</v>
      </c>
      <c r="E36" s="46" t="s">
        <v>78</v>
      </c>
      <c r="F36" s="43" t="s">
        <v>13</v>
      </c>
      <c r="G36" s="43" t="s">
        <v>153</v>
      </c>
      <c r="H36" s="47" t="s">
        <v>305</v>
      </c>
      <c r="I36" s="74"/>
      <c r="J36" s="47" t="s">
        <v>163</v>
      </c>
      <c r="K36" s="47"/>
      <c r="L36" s="45"/>
      <c r="M36" s="45"/>
      <c r="N36" s="47"/>
      <c r="O36" s="48"/>
      <c r="P36" s="49"/>
      <c r="Q36" s="50"/>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row>
    <row r="37" spans="2:68" ht="23.25" customHeight="1" x14ac:dyDescent="0.15">
      <c r="B37" s="33"/>
      <c r="C37" s="34" t="s">
        <v>306</v>
      </c>
      <c r="D37" s="40" t="s">
        <v>145</v>
      </c>
      <c r="E37" s="40" t="s">
        <v>78</v>
      </c>
      <c r="F37" s="41" t="s">
        <v>13</v>
      </c>
      <c r="G37" s="41" t="s">
        <v>153</v>
      </c>
      <c r="H37" s="35" t="s">
        <v>532</v>
      </c>
      <c r="I37" s="71"/>
      <c r="J37" s="35" t="s">
        <v>163</v>
      </c>
      <c r="K37" s="35" t="s">
        <v>307</v>
      </c>
      <c r="L37" s="34" t="s">
        <v>517</v>
      </c>
      <c r="M37" s="34" t="s">
        <v>503</v>
      </c>
      <c r="N37" s="35"/>
      <c r="O37" s="36"/>
      <c r="P37" s="64">
        <v>1</v>
      </c>
      <c r="Q37" s="38">
        <v>2</v>
      </c>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row>
    <row r="38" spans="2:68" ht="23.25" customHeight="1" x14ac:dyDescent="0.15">
      <c r="B38" s="33"/>
      <c r="C38" s="34" t="s">
        <v>308</v>
      </c>
      <c r="D38" s="40" t="s">
        <v>145</v>
      </c>
      <c r="E38" s="40" t="s">
        <v>78</v>
      </c>
      <c r="F38" s="41" t="s">
        <v>13</v>
      </c>
      <c r="G38" s="41" t="s">
        <v>153</v>
      </c>
      <c r="H38" s="35" t="s">
        <v>309</v>
      </c>
      <c r="I38" s="71"/>
      <c r="J38" s="35" t="s">
        <v>163</v>
      </c>
      <c r="K38" s="35" t="s">
        <v>307</v>
      </c>
      <c r="L38" s="34" t="s">
        <v>514</v>
      </c>
      <c r="M38" s="34" t="s">
        <v>514</v>
      </c>
      <c r="N38" s="35"/>
      <c r="O38" s="36"/>
      <c r="P38" s="37"/>
      <c r="Q38" s="38"/>
      <c r="R38" s="39">
        <v>3</v>
      </c>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row>
    <row r="39" spans="2:68" ht="23.25" customHeight="1" x14ac:dyDescent="0.15">
      <c r="B39" s="33"/>
      <c r="C39" s="34" t="s">
        <v>310</v>
      </c>
      <c r="D39" s="40" t="s">
        <v>145</v>
      </c>
      <c r="E39" s="40" t="s">
        <v>78</v>
      </c>
      <c r="F39" s="41" t="s">
        <v>13</v>
      </c>
      <c r="G39" s="41" t="s">
        <v>153</v>
      </c>
      <c r="H39" s="35" t="s">
        <v>311</v>
      </c>
      <c r="I39" s="71"/>
      <c r="J39" s="35" t="s">
        <v>163</v>
      </c>
      <c r="K39" s="35" t="s">
        <v>307</v>
      </c>
      <c r="L39" s="34" t="s">
        <v>509</v>
      </c>
      <c r="M39" s="34" t="s">
        <v>515</v>
      </c>
      <c r="N39" s="35"/>
      <c r="O39" s="36"/>
      <c r="P39" s="37"/>
      <c r="Q39" s="38"/>
      <c r="R39" s="39"/>
      <c r="S39" s="39"/>
      <c r="T39" s="39"/>
      <c r="U39" s="39"/>
      <c r="V39" s="39"/>
      <c r="W39" s="39"/>
      <c r="X39" s="39"/>
      <c r="Y39" s="39"/>
      <c r="Z39" s="39">
        <v>5</v>
      </c>
      <c r="AA39" s="39"/>
      <c r="AB39" s="39"/>
      <c r="AC39" s="39"/>
      <c r="AD39" s="39"/>
      <c r="AE39" s="39"/>
      <c r="AF39" s="39"/>
      <c r="AG39" s="39"/>
      <c r="AH39" s="39"/>
      <c r="AI39" s="39"/>
      <c r="AJ39" s="39"/>
      <c r="AK39" s="39"/>
      <c r="AL39" s="39"/>
      <c r="AM39" s="39"/>
      <c r="AN39" s="39"/>
      <c r="AO39" s="39">
        <v>5</v>
      </c>
      <c r="AP39" s="39"/>
      <c r="AQ39" s="39"/>
      <c r="AR39" s="39"/>
      <c r="AS39" s="39"/>
      <c r="AT39" s="39"/>
      <c r="AU39" s="39"/>
      <c r="AV39" s="39"/>
      <c r="AW39" s="39"/>
      <c r="AX39" s="39"/>
      <c r="AY39" s="39"/>
      <c r="AZ39" s="39"/>
      <c r="BA39" s="39"/>
      <c r="BB39" s="39">
        <v>5</v>
      </c>
      <c r="BC39" s="39"/>
      <c r="BD39" s="39"/>
      <c r="BE39" s="39"/>
      <c r="BF39" s="39"/>
      <c r="BG39" s="39"/>
      <c r="BH39" s="39"/>
      <c r="BI39" s="39"/>
      <c r="BJ39" s="39"/>
      <c r="BK39" s="39"/>
      <c r="BL39" s="39"/>
      <c r="BM39" s="39">
        <v>5</v>
      </c>
      <c r="BN39" s="39"/>
      <c r="BO39" s="39"/>
      <c r="BP39" s="39"/>
    </row>
    <row r="40" spans="2:68" ht="23.25" customHeight="1" x14ac:dyDescent="0.15">
      <c r="B40" s="33"/>
      <c r="C40" s="34" t="s">
        <v>312</v>
      </c>
      <c r="D40" s="40" t="s">
        <v>145</v>
      </c>
      <c r="E40" s="40" t="s">
        <v>78</v>
      </c>
      <c r="F40" s="41" t="s">
        <v>13</v>
      </c>
      <c r="G40" s="41" t="s">
        <v>153</v>
      </c>
      <c r="H40" s="35" t="s">
        <v>313</v>
      </c>
      <c r="I40" s="71"/>
      <c r="J40" s="35" t="s">
        <v>163</v>
      </c>
      <c r="K40" s="35" t="s">
        <v>307</v>
      </c>
      <c r="L40" s="34" t="s">
        <v>509</v>
      </c>
      <c r="M40" s="34" t="s">
        <v>515</v>
      </c>
      <c r="N40" s="35"/>
      <c r="O40" s="36"/>
      <c r="P40" s="37"/>
      <c r="Q40" s="38"/>
      <c r="R40" s="39"/>
      <c r="S40" s="39"/>
      <c r="T40" s="39"/>
      <c r="U40" s="39"/>
      <c r="V40" s="39"/>
      <c r="W40" s="39"/>
      <c r="X40" s="39"/>
      <c r="Y40" s="39"/>
      <c r="Z40" s="39">
        <v>3</v>
      </c>
      <c r="AA40" s="39"/>
      <c r="AB40" s="39"/>
      <c r="AC40" s="39"/>
      <c r="AD40" s="39"/>
      <c r="AE40" s="39"/>
      <c r="AF40" s="39"/>
      <c r="AG40" s="39"/>
      <c r="AH40" s="39"/>
      <c r="AI40" s="39"/>
      <c r="AJ40" s="39"/>
      <c r="AK40" s="39"/>
      <c r="AL40" s="39"/>
      <c r="AM40" s="39"/>
      <c r="AN40" s="39"/>
      <c r="AO40" s="39">
        <v>3</v>
      </c>
      <c r="AP40" s="39"/>
      <c r="AQ40" s="39"/>
      <c r="AR40" s="39"/>
      <c r="AS40" s="39"/>
      <c r="AT40" s="39"/>
      <c r="AU40" s="39"/>
      <c r="AV40" s="39"/>
      <c r="AW40" s="39"/>
      <c r="AX40" s="39"/>
      <c r="AY40" s="39"/>
      <c r="AZ40" s="39"/>
      <c r="BA40" s="39"/>
      <c r="BB40" s="39">
        <v>3</v>
      </c>
      <c r="BC40" s="39"/>
      <c r="BD40" s="39"/>
      <c r="BE40" s="39"/>
      <c r="BF40" s="39"/>
      <c r="BG40" s="39"/>
      <c r="BH40" s="39"/>
      <c r="BI40" s="39"/>
      <c r="BJ40" s="39"/>
      <c r="BK40" s="39"/>
      <c r="BL40" s="39"/>
      <c r="BM40" s="39">
        <v>3</v>
      </c>
      <c r="BN40" s="39"/>
      <c r="BO40" s="39"/>
      <c r="BP40" s="39"/>
    </row>
    <row r="41" spans="2:68" s="52" customFormat="1" ht="23.25" customHeight="1" x14ac:dyDescent="0.15">
      <c r="B41" s="44"/>
      <c r="C41" s="45" t="s">
        <v>314</v>
      </c>
      <c r="D41" s="46" t="s">
        <v>145</v>
      </c>
      <c r="E41" s="46" t="s">
        <v>78</v>
      </c>
      <c r="F41" s="43" t="s">
        <v>13</v>
      </c>
      <c r="G41" s="43" t="s">
        <v>153</v>
      </c>
      <c r="H41" s="47" t="s">
        <v>460</v>
      </c>
      <c r="I41" s="74"/>
      <c r="J41" s="47" t="s">
        <v>163</v>
      </c>
      <c r="K41" s="47"/>
      <c r="L41" s="45"/>
      <c r="M41" s="45"/>
      <c r="N41" s="47"/>
      <c r="O41" s="48"/>
      <c r="P41" s="49"/>
      <c r="Q41" s="50"/>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row>
    <row r="42" spans="2:68" ht="23.25" customHeight="1" x14ac:dyDescent="0.15">
      <c r="B42" s="33"/>
      <c r="C42" s="34" t="s">
        <v>315</v>
      </c>
      <c r="D42" s="40" t="s">
        <v>145</v>
      </c>
      <c r="E42" s="40" t="s">
        <v>78</v>
      </c>
      <c r="F42" s="41" t="s">
        <v>13</v>
      </c>
      <c r="G42" s="41" t="s">
        <v>153</v>
      </c>
      <c r="H42" s="35" t="s">
        <v>316</v>
      </c>
      <c r="I42" s="71"/>
      <c r="J42" s="35" t="s">
        <v>163</v>
      </c>
      <c r="K42" s="35" t="s">
        <v>317</v>
      </c>
      <c r="L42" s="34" t="s">
        <v>517</v>
      </c>
      <c r="M42" s="34" t="s">
        <v>517</v>
      </c>
      <c r="N42" s="35"/>
      <c r="O42" s="36"/>
      <c r="P42" s="64">
        <v>1</v>
      </c>
      <c r="Q42" s="38"/>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row>
    <row r="43" spans="2:68" ht="23.25" customHeight="1" x14ac:dyDescent="0.15">
      <c r="B43" s="33"/>
      <c r="C43" s="34" t="s">
        <v>318</v>
      </c>
      <c r="D43" s="40" t="s">
        <v>145</v>
      </c>
      <c r="E43" s="40" t="s">
        <v>78</v>
      </c>
      <c r="F43" s="41" t="s">
        <v>13</v>
      </c>
      <c r="G43" s="41" t="s">
        <v>153</v>
      </c>
      <c r="H43" s="35" t="s">
        <v>319</v>
      </c>
      <c r="I43" s="71"/>
      <c r="J43" s="35" t="s">
        <v>163</v>
      </c>
      <c r="K43" s="35" t="s">
        <v>317</v>
      </c>
      <c r="L43" s="34" t="s">
        <v>503</v>
      </c>
      <c r="M43" s="34" t="s">
        <v>503</v>
      </c>
      <c r="N43" s="35"/>
      <c r="O43" s="36"/>
      <c r="P43" s="37"/>
      <c r="Q43" s="38">
        <v>2</v>
      </c>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row>
    <row r="44" spans="2:68" ht="23.25" customHeight="1" x14ac:dyDescent="0.15">
      <c r="B44" s="33"/>
      <c r="C44" s="34" t="s">
        <v>320</v>
      </c>
      <c r="D44" s="40" t="s">
        <v>145</v>
      </c>
      <c r="E44" s="40" t="s">
        <v>78</v>
      </c>
      <c r="F44" s="41" t="s">
        <v>13</v>
      </c>
      <c r="G44" s="41" t="s">
        <v>153</v>
      </c>
      <c r="H44" s="61" t="s">
        <v>413</v>
      </c>
      <c r="I44" s="71"/>
      <c r="J44" s="35" t="s">
        <v>163</v>
      </c>
      <c r="K44" s="35" t="s">
        <v>317</v>
      </c>
      <c r="L44" s="34" t="s">
        <v>513</v>
      </c>
      <c r="M44" s="34" t="s">
        <v>516</v>
      </c>
      <c r="N44" s="35"/>
      <c r="O44" s="36"/>
      <c r="P44" s="37"/>
      <c r="Q44" s="38"/>
      <c r="R44" s="39">
        <v>4</v>
      </c>
      <c r="S44" s="39"/>
      <c r="T44" s="39">
        <v>4</v>
      </c>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row>
    <row r="45" spans="2:68" ht="23.25" customHeight="1" x14ac:dyDescent="0.15">
      <c r="B45" s="33"/>
      <c r="C45" s="34" t="s">
        <v>321</v>
      </c>
      <c r="D45" s="40" t="s">
        <v>145</v>
      </c>
      <c r="E45" s="40" t="s">
        <v>78</v>
      </c>
      <c r="F45" s="41" t="s">
        <v>13</v>
      </c>
      <c r="G45" s="41" t="s">
        <v>153</v>
      </c>
      <c r="H45" s="35" t="s">
        <v>322</v>
      </c>
      <c r="I45" s="71"/>
      <c r="J45" s="35" t="s">
        <v>163</v>
      </c>
      <c r="K45" s="35" t="s">
        <v>317</v>
      </c>
      <c r="L45" s="34" t="s">
        <v>533</v>
      </c>
      <c r="M45" s="34" t="s">
        <v>534</v>
      </c>
      <c r="N45" s="35"/>
      <c r="O45" s="36"/>
      <c r="P45" s="37"/>
      <c r="Q45" s="38"/>
      <c r="R45" s="39"/>
      <c r="S45" s="39"/>
      <c r="T45" s="39"/>
      <c r="U45" s="39"/>
      <c r="V45" s="39"/>
      <c r="W45" s="39"/>
      <c r="X45" s="39"/>
      <c r="Y45" s="39"/>
      <c r="Z45" s="39"/>
      <c r="AA45" s="39"/>
      <c r="AB45" s="39"/>
      <c r="AC45" s="39"/>
      <c r="AD45" s="39"/>
      <c r="AE45" s="39"/>
      <c r="AF45" s="39"/>
      <c r="AG45" s="39">
        <v>5</v>
      </c>
      <c r="AH45" s="39">
        <v>5</v>
      </c>
      <c r="AI45" s="39">
        <v>5</v>
      </c>
      <c r="AJ45" s="39"/>
      <c r="AK45" s="39"/>
      <c r="AL45" s="39"/>
      <c r="AM45" s="39"/>
      <c r="AN45" s="39"/>
      <c r="AO45" s="39"/>
      <c r="AP45" s="39">
        <v>5</v>
      </c>
      <c r="AQ45" s="39">
        <v>5</v>
      </c>
      <c r="AR45" s="39">
        <v>5</v>
      </c>
      <c r="AS45" s="39">
        <v>5</v>
      </c>
      <c r="AT45" s="39"/>
      <c r="AU45" s="39"/>
      <c r="AV45" s="39"/>
      <c r="AW45" s="39"/>
      <c r="AX45" s="39"/>
      <c r="AY45" s="39"/>
      <c r="AZ45" s="39"/>
      <c r="BA45" s="39"/>
      <c r="BB45" s="39"/>
      <c r="BC45" s="39"/>
      <c r="BD45" s="39"/>
      <c r="BE45" s="39"/>
      <c r="BF45" s="39"/>
      <c r="BG45" s="39"/>
      <c r="BH45" s="39"/>
      <c r="BI45" s="39"/>
      <c r="BJ45" s="39"/>
      <c r="BK45" s="39"/>
      <c r="BL45" s="39"/>
      <c r="BM45" s="39"/>
      <c r="BN45" s="39"/>
      <c r="BO45" s="39"/>
      <c r="BP45" s="39"/>
    </row>
    <row r="46" spans="2:68" ht="23.25" customHeight="1" x14ac:dyDescent="0.15">
      <c r="B46" s="33"/>
      <c r="C46" s="34">
        <v>3</v>
      </c>
      <c r="D46" s="40" t="s">
        <v>146</v>
      </c>
      <c r="E46" s="40" t="s">
        <v>148</v>
      </c>
      <c r="F46" s="41" t="s">
        <v>13</v>
      </c>
      <c r="G46" s="41" t="s">
        <v>154</v>
      </c>
      <c r="H46" s="41" t="s">
        <v>154</v>
      </c>
      <c r="I46" s="71"/>
      <c r="J46" s="35" t="s">
        <v>164</v>
      </c>
      <c r="K46" s="35"/>
      <c r="L46" s="34"/>
      <c r="M46" s="34"/>
      <c r="N46" s="35"/>
      <c r="O46" s="36"/>
      <c r="P46" s="37"/>
      <c r="Q46" s="38"/>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row>
    <row r="47" spans="2:68" s="52" customFormat="1" ht="45" x14ac:dyDescent="0.15">
      <c r="B47" s="44"/>
      <c r="C47" s="45" t="s">
        <v>100</v>
      </c>
      <c r="D47" s="46" t="s">
        <v>146</v>
      </c>
      <c r="E47" s="46" t="s">
        <v>148</v>
      </c>
      <c r="F47" s="43" t="s">
        <v>13</v>
      </c>
      <c r="G47" s="43" t="s">
        <v>154</v>
      </c>
      <c r="H47" s="47" t="s">
        <v>193</v>
      </c>
      <c r="I47" s="82" t="s">
        <v>553</v>
      </c>
      <c r="J47" s="47" t="s">
        <v>164</v>
      </c>
      <c r="K47" s="47"/>
      <c r="L47" s="45"/>
      <c r="M47" s="45"/>
      <c r="N47" s="47"/>
      <c r="O47" s="48"/>
      <c r="P47" s="49"/>
      <c r="Q47" s="50"/>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row>
    <row r="48" spans="2:68" ht="23.25" customHeight="1" x14ac:dyDescent="0.15">
      <c r="B48" s="33"/>
      <c r="C48" s="42" t="s">
        <v>122</v>
      </c>
      <c r="D48" s="40" t="s">
        <v>146</v>
      </c>
      <c r="E48" s="40" t="s">
        <v>148</v>
      </c>
      <c r="F48" s="41" t="s">
        <v>13</v>
      </c>
      <c r="G48" s="41" t="s">
        <v>154</v>
      </c>
      <c r="H48" s="35" t="s">
        <v>194</v>
      </c>
      <c r="I48" s="71"/>
      <c r="J48" s="35" t="s">
        <v>164</v>
      </c>
      <c r="K48" s="35" t="s">
        <v>242</v>
      </c>
      <c r="L48" s="34" t="s">
        <v>529</v>
      </c>
      <c r="M48" s="34" t="s">
        <v>535</v>
      </c>
      <c r="N48" s="35"/>
      <c r="O48" s="36"/>
      <c r="P48" s="37"/>
      <c r="Q48" s="38"/>
      <c r="R48" s="39"/>
      <c r="S48" s="39"/>
      <c r="T48" s="39"/>
      <c r="U48" s="39">
        <v>1</v>
      </c>
      <c r="V48" s="39">
        <v>2</v>
      </c>
      <c r="W48" s="39">
        <v>3</v>
      </c>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row>
    <row r="49" spans="2:68" ht="23.25" customHeight="1" x14ac:dyDescent="0.15">
      <c r="B49" s="33"/>
      <c r="C49" s="42" t="s">
        <v>419</v>
      </c>
      <c r="D49" s="40" t="s">
        <v>146</v>
      </c>
      <c r="E49" s="40" t="s">
        <v>148</v>
      </c>
      <c r="F49" s="41" t="s">
        <v>13</v>
      </c>
      <c r="G49" s="41" t="s">
        <v>154</v>
      </c>
      <c r="H49" s="35" t="s">
        <v>195</v>
      </c>
      <c r="I49" s="71"/>
      <c r="J49" s="35" t="s">
        <v>164</v>
      </c>
      <c r="K49" s="35" t="s">
        <v>196</v>
      </c>
      <c r="L49" s="34" t="s">
        <v>509</v>
      </c>
      <c r="M49" s="34" t="s">
        <v>509</v>
      </c>
      <c r="N49" s="35"/>
      <c r="O49" s="36"/>
      <c r="P49" s="37"/>
      <c r="Q49" s="38"/>
      <c r="R49" s="39"/>
      <c r="S49" s="39"/>
      <c r="T49" s="39"/>
      <c r="U49" s="39"/>
      <c r="V49" s="39"/>
      <c r="W49" s="39"/>
      <c r="X49" s="39"/>
      <c r="Y49" s="39"/>
      <c r="Z49" s="39">
        <v>4</v>
      </c>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row>
    <row r="50" spans="2:68" ht="23.25" customHeight="1" x14ac:dyDescent="0.15">
      <c r="B50" s="33"/>
      <c r="C50" s="42" t="s">
        <v>420</v>
      </c>
      <c r="D50" s="40" t="s">
        <v>146</v>
      </c>
      <c r="E50" s="40" t="s">
        <v>148</v>
      </c>
      <c r="F50" s="41" t="s">
        <v>13</v>
      </c>
      <c r="G50" s="41" t="s">
        <v>154</v>
      </c>
      <c r="H50" s="35" t="s">
        <v>197</v>
      </c>
      <c r="I50" s="71"/>
      <c r="J50" s="35" t="s">
        <v>164</v>
      </c>
      <c r="K50" s="35" t="s">
        <v>198</v>
      </c>
      <c r="L50" s="34" t="s">
        <v>509</v>
      </c>
      <c r="M50" s="34" t="s">
        <v>537</v>
      </c>
      <c r="N50" s="35"/>
      <c r="O50" s="36"/>
      <c r="P50" s="37"/>
      <c r="Q50" s="38"/>
      <c r="R50" s="39"/>
      <c r="S50" s="39"/>
      <c r="T50" s="39"/>
      <c r="U50" s="39"/>
      <c r="V50" s="39"/>
      <c r="W50" s="39"/>
      <c r="X50" s="39"/>
      <c r="Y50" s="39"/>
      <c r="Z50" s="39">
        <v>5</v>
      </c>
      <c r="AA50" s="39"/>
      <c r="AB50" s="39"/>
      <c r="AC50" s="39"/>
      <c r="AD50" s="39">
        <v>5</v>
      </c>
      <c r="AE50" s="39"/>
      <c r="AF50" s="39"/>
      <c r="AG50" s="39"/>
      <c r="AH50" s="39">
        <v>5</v>
      </c>
      <c r="AI50" s="39"/>
      <c r="AJ50" s="39"/>
      <c r="AK50" s="39"/>
      <c r="AL50" s="39"/>
      <c r="AM50" s="39">
        <v>5</v>
      </c>
      <c r="AN50" s="39"/>
      <c r="AO50" s="39"/>
      <c r="AP50" s="39"/>
      <c r="AQ50" s="39">
        <v>5</v>
      </c>
      <c r="AR50" s="39"/>
      <c r="AS50" s="39"/>
      <c r="AT50" s="39"/>
      <c r="AU50" s="39">
        <v>5</v>
      </c>
      <c r="AV50" s="39"/>
      <c r="AW50" s="39"/>
      <c r="AX50" s="39"/>
      <c r="AY50" s="39"/>
      <c r="AZ50" s="39">
        <v>5</v>
      </c>
      <c r="BA50" s="39"/>
      <c r="BB50" s="39"/>
      <c r="BC50" s="39"/>
      <c r="BD50" s="39">
        <v>5</v>
      </c>
      <c r="BE50" s="39"/>
      <c r="BF50" s="39"/>
      <c r="BG50" s="39"/>
      <c r="BH50" s="39">
        <v>5</v>
      </c>
      <c r="BI50" s="39"/>
      <c r="BJ50" s="39"/>
      <c r="BK50" s="39"/>
      <c r="BL50" s="39"/>
      <c r="BM50" s="39"/>
      <c r="BN50" s="39"/>
      <c r="BO50" s="39"/>
      <c r="BP50" s="39"/>
    </row>
    <row r="51" spans="2:68" ht="23.25" customHeight="1" x14ac:dyDescent="0.15">
      <c r="B51" s="33"/>
      <c r="C51" s="42" t="s">
        <v>421</v>
      </c>
      <c r="D51" s="40" t="s">
        <v>146</v>
      </c>
      <c r="E51" s="40" t="s">
        <v>148</v>
      </c>
      <c r="F51" s="41" t="s">
        <v>13</v>
      </c>
      <c r="G51" s="41" t="s">
        <v>154</v>
      </c>
      <c r="H51" s="35" t="s">
        <v>199</v>
      </c>
      <c r="I51" s="71"/>
      <c r="J51" s="35" t="s">
        <v>164</v>
      </c>
      <c r="K51" s="35" t="s">
        <v>200</v>
      </c>
      <c r="L51" s="34" t="s">
        <v>538</v>
      </c>
      <c r="M51" s="34" t="s">
        <v>528</v>
      </c>
      <c r="N51" s="35"/>
      <c r="O51" s="36"/>
      <c r="P51" s="37"/>
      <c r="Q51" s="38"/>
      <c r="R51" s="39"/>
      <c r="S51" s="39"/>
      <c r="T51" s="39"/>
      <c r="U51" s="39"/>
      <c r="V51" s="39"/>
      <c r="W51" s="39"/>
      <c r="X51" s="39"/>
      <c r="Y51" s="39"/>
      <c r="Z51" s="39"/>
      <c r="AA51" s="39"/>
      <c r="AB51" s="39"/>
      <c r="AC51" s="39"/>
      <c r="AD51" s="39">
        <v>5</v>
      </c>
      <c r="AE51" s="39"/>
      <c r="AF51" s="39"/>
      <c r="AG51" s="39"/>
      <c r="AH51" s="39"/>
      <c r="AI51" s="39"/>
      <c r="AJ51" s="39"/>
      <c r="AK51" s="39"/>
      <c r="AL51" s="39"/>
      <c r="AM51" s="39"/>
      <c r="AN51" s="39"/>
      <c r="AO51" s="39"/>
      <c r="AP51" s="39"/>
      <c r="AQ51" s="39"/>
      <c r="AR51" s="39"/>
      <c r="AS51" s="39">
        <v>5</v>
      </c>
      <c r="AT51" s="39"/>
      <c r="AU51" s="39"/>
      <c r="AV51" s="39"/>
      <c r="AW51" s="39"/>
      <c r="AX51" s="39"/>
      <c r="AY51" s="39"/>
      <c r="AZ51" s="39"/>
      <c r="BA51" s="39"/>
      <c r="BB51" s="39"/>
      <c r="BC51" s="39"/>
      <c r="BD51" s="39"/>
      <c r="BE51" s="39">
        <v>5</v>
      </c>
      <c r="BF51" s="39"/>
      <c r="BG51" s="39"/>
      <c r="BH51" s="39"/>
      <c r="BI51" s="39"/>
      <c r="BJ51" s="39"/>
      <c r="BK51" s="39"/>
      <c r="BL51" s="39"/>
      <c r="BM51" s="39"/>
      <c r="BN51" s="39"/>
      <c r="BO51" s="39"/>
      <c r="BP51" s="39"/>
    </row>
    <row r="52" spans="2:68" s="52" customFormat="1" ht="45" x14ac:dyDescent="0.15">
      <c r="B52" s="44"/>
      <c r="C52" s="54" t="s">
        <v>101</v>
      </c>
      <c r="D52" s="46" t="s">
        <v>146</v>
      </c>
      <c r="E52" s="46" t="s">
        <v>148</v>
      </c>
      <c r="F52" s="43" t="s">
        <v>13</v>
      </c>
      <c r="G52" s="43" t="s">
        <v>154</v>
      </c>
      <c r="H52" s="47" t="s">
        <v>202</v>
      </c>
      <c r="I52" s="82" t="s">
        <v>554</v>
      </c>
      <c r="J52" s="47" t="s">
        <v>164</v>
      </c>
      <c r="K52" s="47"/>
      <c r="L52" s="45"/>
      <c r="M52" s="45"/>
      <c r="N52" s="47"/>
      <c r="O52" s="48"/>
      <c r="P52" s="49"/>
      <c r="Q52" s="50"/>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row>
    <row r="53" spans="2:68" ht="23.25" customHeight="1" x14ac:dyDescent="0.15">
      <c r="B53" s="33"/>
      <c r="C53" s="42" t="s">
        <v>214</v>
      </c>
      <c r="D53" s="40" t="s">
        <v>146</v>
      </c>
      <c r="E53" s="40" t="s">
        <v>148</v>
      </c>
      <c r="F53" s="41" t="s">
        <v>13</v>
      </c>
      <c r="G53" s="41" t="s">
        <v>154</v>
      </c>
      <c r="H53" s="35" t="s">
        <v>204</v>
      </c>
      <c r="I53" s="71"/>
      <c r="J53" s="35" t="s">
        <v>164</v>
      </c>
      <c r="K53" s="35" t="s">
        <v>205</v>
      </c>
      <c r="L53" s="34" t="s">
        <v>517</v>
      </c>
      <c r="M53" s="34" t="s">
        <v>513</v>
      </c>
      <c r="N53" s="35"/>
      <c r="O53" s="36"/>
      <c r="P53" s="64">
        <v>1</v>
      </c>
      <c r="Q53" s="38">
        <v>2</v>
      </c>
      <c r="R53" s="39">
        <v>3</v>
      </c>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row>
    <row r="54" spans="2:68" ht="23.25" customHeight="1" x14ac:dyDescent="0.15">
      <c r="B54" s="33"/>
      <c r="C54" s="55" t="s">
        <v>217</v>
      </c>
      <c r="D54" s="40" t="s">
        <v>146</v>
      </c>
      <c r="E54" s="40" t="s">
        <v>148</v>
      </c>
      <c r="F54" s="41" t="s">
        <v>13</v>
      </c>
      <c r="G54" s="41" t="s">
        <v>154</v>
      </c>
      <c r="H54" s="35" t="s">
        <v>207</v>
      </c>
      <c r="I54" s="71"/>
      <c r="J54" s="35" t="s">
        <v>164</v>
      </c>
      <c r="K54" s="35" t="s">
        <v>200</v>
      </c>
      <c r="L54" s="34" t="s">
        <v>513</v>
      </c>
      <c r="M54" s="34" t="s">
        <v>516</v>
      </c>
      <c r="N54" s="35"/>
      <c r="O54" s="36"/>
      <c r="P54" s="37"/>
      <c r="Q54" s="38"/>
      <c r="R54" s="39">
        <v>4</v>
      </c>
      <c r="S54" s="39"/>
      <c r="T54" s="39">
        <v>4</v>
      </c>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row>
    <row r="55" spans="2:68" ht="23.25" customHeight="1" x14ac:dyDescent="0.15">
      <c r="B55" s="33"/>
      <c r="C55" s="55" t="s">
        <v>219</v>
      </c>
      <c r="D55" s="40" t="s">
        <v>146</v>
      </c>
      <c r="E55" s="40" t="s">
        <v>148</v>
      </c>
      <c r="F55" s="41" t="s">
        <v>13</v>
      </c>
      <c r="G55" s="41" t="s">
        <v>154</v>
      </c>
      <c r="H55" s="35" t="s">
        <v>209</v>
      </c>
      <c r="I55" s="71"/>
      <c r="J55" s="35" t="s">
        <v>164</v>
      </c>
      <c r="K55" s="35" t="s">
        <v>210</v>
      </c>
      <c r="L55" s="34" t="s">
        <v>506</v>
      </c>
      <c r="M55" s="34" t="s">
        <v>537</v>
      </c>
      <c r="N55" s="35"/>
      <c r="O55" s="36"/>
      <c r="P55" s="37"/>
      <c r="Q55" s="38"/>
      <c r="R55" s="39"/>
      <c r="S55" s="39"/>
      <c r="T55" s="39"/>
      <c r="U55" s="39"/>
      <c r="V55" s="39">
        <v>5</v>
      </c>
      <c r="W55" s="39"/>
      <c r="X55" s="39"/>
      <c r="Y55" s="39"/>
      <c r="Z55" s="39">
        <v>5</v>
      </c>
      <c r="AA55" s="39"/>
      <c r="AB55" s="39"/>
      <c r="AC55" s="39"/>
      <c r="AD55" s="39"/>
      <c r="AE55" s="39">
        <v>5</v>
      </c>
      <c r="AF55" s="39"/>
      <c r="AG55" s="39"/>
      <c r="AH55" s="39"/>
      <c r="AI55" s="39"/>
      <c r="AJ55" s="39">
        <v>5</v>
      </c>
      <c r="AK55" s="39"/>
      <c r="AL55" s="39"/>
      <c r="AM55" s="39">
        <v>5</v>
      </c>
      <c r="AN55" s="39"/>
      <c r="AO55" s="39"/>
      <c r="AP55" s="39"/>
      <c r="AQ55" s="39">
        <v>5</v>
      </c>
      <c r="AR55" s="39"/>
      <c r="AS55" s="39"/>
      <c r="AT55" s="39"/>
      <c r="AU55" s="39"/>
      <c r="AV55" s="39">
        <v>5</v>
      </c>
      <c r="AW55" s="39"/>
      <c r="AX55" s="39"/>
      <c r="AY55" s="39"/>
      <c r="AZ55" s="39">
        <v>5</v>
      </c>
      <c r="BA55" s="39"/>
      <c r="BB55" s="39"/>
      <c r="BC55" s="39"/>
      <c r="BD55" s="39">
        <v>5</v>
      </c>
      <c r="BE55" s="39"/>
      <c r="BF55" s="39"/>
      <c r="BG55" s="39"/>
      <c r="BH55" s="39">
        <v>5</v>
      </c>
      <c r="BI55" s="39"/>
      <c r="BJ55" s="39"/>
      <c r="BK55" s="39"/>
      <c r="BL55" s="39"/>
      <c r="BM55" s="39"/>
      <c r="BN55" s="39"/>
      <c r="BO55" s="39"/>
      <c r="BP55" s="39"/>
    </row>
    <row r="56" spans="2:68" ht="23.25" customHeight="1" x14ac:dyDescent="0.15">
      <c r="B56" s="33"/>
      <c r="C56" s="55" t="s">
        <v>221</v>
      </c>
      <c r="D56" s="40" t="s">
        <v>146</v>
      </c>
      <c r="E56" s="40" t="s">
        <v>148</v>
      </c>
      <c r="F56" s="41" t="s">
        <v>13</v>
      </c>
      <c r="G56" s="41" t="s">
        <v>154</v>
      </c>
      <c r="H56" s="35" t="s">
        <v>355</v>
      </c>
      <c r="I56" s="71"/>
      <c r="J56" s="35" t="s">
        <v>164</v>
      </c>
      <c r="K56" s="35" t="s">
        <v>210</v>
      </c>
      <c r="L56" s="34" t="s">
        <v>513</v>
      </c>
      <c r="M56" s="34" t="s">
        <v>517</v>
      </c>
      <c r="N56" s="35"/>
      <c r="O56" s="36"/>
      <c r="P56" s="37"/>
      <c r="Q56" s="38"/>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row>
    <row r="57" spans="2:68" ht="23.25" customHeight="1" x14ac:dyDescent="0.15">
      <c r="B57" s="33"/>
      <c r="C57" s="55" t="s">
        <v>354</v>
      </c>
      <c r="D57" s="40" t="s">
        <v>146</v>
      </c>
      <c r="E57" s="40" t="s">
        <v>148</v>
      </c>
      <c r="F57" s="41" t="s">
        <v>13</v>
      </c>
      <c r="G57" s="41" t="s">
        <v>154</v>
      </c>
      <c r="H57" s="35" t="s">
        <v>212</v>
      </c>
      <c r="I57" s="71"/>
      <c r="J57" s="35" t="s">
        <v>164</v>
      </c>
      <c r="K57" s="35" t="s">
        <v>200</v>
      </c>
      <c r="L57" s="34" t="s">
        <v>538</v>
      </c>
      <c r="M57" s="34" t="s">
        <v>528</v>
      </c>
      <c r="N57" s="35"/>
      <c r="O57" s="36"/>
      <c r="P57" s="37"/>
      <c r="Q57" s="38"/>
      <c r="R57" s="39"/>
      <c r="S57" s="39"/>
      <c r="T57" s="39"/>
      <c r="U57" s="39"/>
      <c r="V57" s="39"/>
      <c r="W57" s="39"/>
      <c r="X57" s="39"/>
      <c r="Y57" s="39"/>
      <c r="Z57" s="39"/>
      <c r="AA57" s="39"/>
      <c r="AB57" s="39"/>
      <c r="AC57" s="39"/>
      <c r="AD57" s="39">
        <v>5</v>
      </c>
      <c r="AE57" s="39"/>
      <c r="AF57" s="39"/>
      <c r="AG57" s="39"/>
      <c r="AH57" s="39"/>
      <c r="AI57" s="39"/>
      <c r="AJ57" s="39"/>
      <c r="AK57" s="39"/>
      <c r="AL57" s="39"/>
      <c r="AM57" s="39"/>
      <c r="AN57" s="39"/>
      <c r="AO57" s="39"/>
      <c r="AP57" s="39"/>
      <c r="AQ57" s="39"/>
      <c r="AR57" s="39"/>
      <c r="AS57" s="39">
        <v>5</v>
      </c>
      <c r="AT57" s="39"/>
      <c r="AU57" s="39"/>
      <c r="AV57" s="39"/>
      <c r="AW57" s="39"/>
      <c r="AX57" s="39"/>
      <c r="AY57" s="39"/>
      <c r="AZ57" s="39"/>
      <c r="BA57" s="39"/>
      <c r="BB57" s="39"/>
      <c r="BC57" s="39"/>
      <c r="BD57" s="39"/>
      <c r="BE57" s="39">
        <v>5</v>
      </c>
      <c r="BF57" s="39"/>
      <c r="BG57" s="39"/>
      <c r="BH57" s="39"/>
      <c r="BI57" s="39"/>
      <c r="BJ57" s="39"/>
      <c r="BK57" s="39"/>
      <c r="BL57" s="39"/>
      <c r="BM57" s="39"/>
      <c r="BN57" s="39"/>
      <c r="BO57" s="39"/>
      <c r="BP57" s="39"/>
    </row>
    <row r="58" spans="2:68" s="52" customFormat="1" ht="23.25" customHeight="1" x14ac:dyDescent="0.15">
      <c r="B58" s="44"/>
      <c r="C58" s="53" t="s">
        <v>201</v>
      </c>
      <c r="D58" s="46" t="s">
        <v>146</v>
      </c>
      <c r="E58" s="46" t="s">
        <v>148</v>
      </c>
      <c r="F58" s="43" t="s">
        <v>13</v>
      </c>
      <c r="G58" s="43" t="s">
        <v>154</v>
      </c>
      <c r="H58" s="47" t="s">
        <v>213</v>
      </c>
      <c r="I58" s="82" t="s">
        <v>468</v>
      </c>
      <c r="J58" s="47" t="s">
        <v>164</v>
      </c>
      <c r="K58" s="47"/>
      <c r="L58" s="45"/>
      <c r="M58" s="45"/>
      <c r="N58" s="47"/>
      <c r="O58" s="48"/>
      <c r="P58" s="49"/>
      <c r="Q58" s="50"/>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row>
    <row r="59" spans="2:68" ht="23.25" customHeight="1" x14ac:dyDescent="0.15">
      <c r="B59" s="33"/>
      <c r="C59" s="42" t="s">
        <v>203</v>
      </c>
      <c r="D59" s="40" t="s">
        <v>146</v>
      </c>
      <c r="E59" s="40" t="s">
        <v>148</v>
      </c>
      <c r="F59" s="41" t="s">
        <v>13</v>
      </c>
      <c r="G59" s="41" t="s">
        <v>154</v>
      </c>
      <c r="H59" s="35" t="s">
        <v>215</v>
      </c>
      <c r="I59" s="71"/>
      <c r="J59" s="35" t="s">
        <v>164</v>
      </c>
      <c r="K59" s="35" t="s">
        <v>216</v>
      </c>
      <c r="L59" s="34" t="s">
        <v>517</v>
      </c>
      <c r="M59" s="34" t="s">
        <v>516</v>
      </c>
      <c r="N59" s="35"/>
      <c r="O59" s="36"/>
      <c r="P59" s="64">
        <v>1</v>
      </c>
      <c r="Q59" s="38">
        <v>2</v>
      </c>
      <c r="R59" s="39">
        <v>3</v>
      </c>
      <c r="S59" s="39"/>
      <c r="T59" s="39">
        <v>3</v>
      </c>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row>
    <row r="60" spans="2:68" ht="23.25" customHeight="1" x14ac:dyDescent="0.15">
      <c r="B60" s="33"/>
      <c r="C60" s="55" t="s">
        <v>206</v>
      </c>
      <c r="D60" s="40" t="s">
        <v>146</v>
      </c>
      <c r="E60" s="40" t="s">
        <v>148</v>
      </c>
      <c r="F60" s="41" t="s">
        <v>13</v>
      </c>
      <c r="G60" s="41" t="s">
        <v>154</v>
      </c>
      <c r="H60" s="35" t="s">
        <v>218</v>
      </c>
      <c r="I60" s="71"/>
      <c r="J60" s="35" t="s">
        <v>164</v>
      </c>
      <c r="K60" s="35" t="s">
        <v>216</v>
      </c>
      <c r="L60" s="34" t="s">
        <v>506</v>
      </c>
      <c r="M60" s="34" t="s">
        <v>506</v>
      </c>
      <c r="N60" s="35"/>
      <c r="O60" s="36"/>
      <c r="P60" s="37"/>
      <c r="Q60" s="38"/>
      <c r="R60" s="39"/>
      <c r="S60" s="39"/>
      <c r="T60" s="39"/>
      <c r="U60" s="39"/>
      <c r="V60" s="39">
        <v>4</v>
      </c>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row>
    <row r="61" spans="2:68" ht="23.25" customHeight="1" x14ac:dyDescent="0.15">
      <c r="B61" s="33"/>
      <c r="C61" s="55" t="s">
        <v>208</v>
      </c>
      <c r="D61" s="40" t="s">
        <v>146</v>
      </c>
      <c r="E61" s="40" t="s">
        <v>148</v>
      </c>
      <c r="F61" s="41" t="s">
        <v>13</v>
      </c>
      <c r="G61" s="41" t="s">
        <v>154</v>
      </c>
      <c r="H61" s="35" t="s">
        <v>220</v>
      </c>
      <c r="I61" s="71"/>
      <c r="J61" s="35" t="s">
        <v>164</v>
      </c>
      <c r="K61" s="35" t="s">
        <v>216</v>
      </c>
      <c r="L61" s="34" t="s">
        <v>539</v>
      </c>
      <c r="M61" s="34" t="s">
        <v>540</v>
      </c>
      <c r="N61" s="35"/>
      <c r="O61" s="36"/>
      <c r="P61" s="37"/>
      <c r="Q61" s="38"/>
      <c r="R61" s="39"/>
      <c r="S61" s="39"/>
      <c r="T61" s="39"/>
      <c r="U61" s="39"/>
      <c r="V61" s="39"/>
      <c r="W61" s="39"/>
      <c r="X61" s="39"/>
      <c r="Y61" s="39"/>
      <c r="Z61" s="39"/>
      <c r="AA61" s="39"/>
      <c r="AB61" s="39"/>
      <c r="AC61" s="39"/>
      <c r="AD61" s="39"/>
      <c r="AE61" s="39"/>
      <c r="AF61" s="39"/>
      <c r="AG61" s="39"/>
      <c r="AH61" s="39"/>
      <c r="AI61" s="39"/>
      <c r="AJ61" s="39"/>
      <c r="AK61" s="39">
        <v>4</v>
      </c>
      <c r="AL61" s="39"/>
      <c r="AM61" s="39"/>
      <c r="AN61" s="39"/>
      <c r="AO61" s="39"/>
      <c r="AP61" s="39"/>
      <c r="AQ61" s="39"/>
      <c r="AR61" s="39"/>
      <c r="AS61" s="39"/>
      <c r="AT61" s="39"/>
      <c r="AU61" s="39">
        <v>4</v>
      </c>
      <c r="AV61" s="39"/>
      <c r="AW61" s="39"/>
      <c r="AX61" s="39"/>
      <c r="AY61" s="39"/>
      <c r="AZ61" s="39"/>
      <c r="BA61" s="39"/>
      <c r="BB61" s="39"/>
      <c r="BC61" s="39"/>
      <c r="BD61" s="39"/>
      <c r="BE61" s="39"/>
      <c r="BF61" s="39"/>
      <c r="BG61" s="39"/>
      <c r="BH61" s="39"/>
      <c r="BI61" s="39"/>
      <c r="BJ61" s="39"/>
      <c r="BK61" s="39"/>
      <c r="BL61" s="39"/>
      <c r="BM61" s="39"/>
      <c r="BN61" s="39"/>
      <c r="BO61" s="39"/>
      <c r="BP61" s="39"/>
    </row>
    <row r="62" spans="2:68" ht="23.25" customHeight="1" x14ac:dyDescent="0.15">
      <c r="B62" s="33"/>
      <c r="C62" s="55" t="s">
        <v>211</v>
      </c>
      <c r="D62" s="40" t="s">
        <v>146</v>
      </c>
      <c r="E62" s="40" t="s">
        <v>148</v>
      </c>
      <c r="F62" s="41" t="s">
        <v>13</v>
      </c>
      <c r="G62" s="41" t="s">
        <v>154</v>
      </c>
      <c r="H62" s="35" t="s">
        <v>222</v>
      </c>
      <c r="I62" s="71"/>
      <c r="J62" s="35" t="s">
        <v>164</v>
      </c>
      <c r="K62" s="35" t="s">
        <v>216</v>
      </c>
      <c r="L62" s="34" t="s">
        <v>538</v>
      </c>
      <c r="M62" s="34" t="s">
        <v>528</v>
      </c>
      <c r="N62" s="35"/>
      <c r="O62" s="36"/>
      <c r="P62" s="37"/>
      <c r="Q62" s="38"/>
      <c r="R62" s="39"/>
      <c r="S62" s="39"/>
      <c r="T62" s="39"/>
      <c r="U62" s="39"/>
      <c r="V62" s="39"/>
      <c r="W62" s="39"/>
      <c r="X62" s="39"/>
      <c r="Y62" s="39"/>
      <c r="Z62" s="39"/>
      <c r="AA62" s="39"/>
      <c r="AB62" s="39"/>
      <c r="AC62" s="39"/>
      <c r="AD62" s="39">
        <v>5</v>
      </c>
      <c r="AE62" s="39"/>
      <c r="AF62" s="39"/>
      <c r="AG62" s="39"/>
      <c r="AH62" s="39"/>
      <c r="AI62" s="39"/>
      <c r="AJ62" s="39"/>
      <c r="AK62" s="39"/>
      <c r="AL62" s="39"/>
      <c r="AM62" s="39"/>
      <c r="AN62" s="39"/>
      <c r="AO62" s="39"/>
      <c r="AP62" s="39"/>
      <c r="AQ62" s="39"/>
      <c r="AR62" s="39"/>
      <c r="AS62" s="39">
        <v>5</v>
      </c>
      <c r="AT62" s="39"/>
      <c r="AU62" s="39"/>
      <c r="AV62" s="39"/>
      <c r="AW62" s="39"/>
      <c r="AX62" s="39"/>
      <c r="AY62" s="39"/>
      <c r="AZ62" s="39"/>
      <c r="BA62" s="39"/>
      <c r="BB62" s="39"/>
      <c r="BC62" s="39"/>
      <c r="BD62" s="39"/>
      <c r="BE62" s="39">
        <v>5</v>
      </c>
      <c r="BF62" s="39"/>
      <c r="BG62" s="39"/>
      <c r="BH62" s="39"/>
      <c r="BI62" s="39"/>
      <c r="BJ62" s="39"/>
      <c r="BK62" s="39"/>
      <c r="BL62" s="39"/>
      <c r="BM62" s="39"/>
      <c r="BN62" s="39"/>
      <c r="BO62" s="39"/>
      <c r="BP62" s="39"/>
    </row>
    <row r="63" spans="2:68" ht="23.25" customHeight="1" x14ac:dyDescent="0.15">
      <c r="B63" s="33"/>
      <c r="C63" s="34">
        <v>4</v>
      </c>
      <c r="D63" s="40" t="s">
        <v>146</v>
      </c>
      <c r="E63" s="40" t="s">
        <v>148</v>
      </c>
      <c r="F63" s="41" t="s">
        <v>13</v>
      </c>
      <c r="G63" s="41" t="s">
        <v>155</v>
      </c>
      <c r="H63" s="41" t="s">
        <v>155</v>
      </c>
      <c r="I63" s="71"/>
      <c r="J63" s="35" t="s">
        <v>164</v>
      </c>
      <c r="K63" s="35"/>
      <c r="L63" s="34"/>
      <c r="M63" s="34"/>
      <c r="N63" s="35"/>
      <c r="O63" s="36"/>
      <c r="P63" s="37"/>
      <c r="Q63" s="38"/>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row>
    <row r="64" spans="2:68" s="52" customFormat="1" ht="45" x14ac:dyDescent="0.15">
      <c r="B64" s="44"/>
      <c r="C64" s="45" t="s">
        <v>102</v>
      </c>
      <c r="D64" s="46" t="s">
        <v>146</v>
      </c>
      <c r="E64" s="46" t="s">
        <v>148</v>
      </c>
      <c r="F64" s="43" t="s">
        <v>13</v>
      </c>
      <c r="G64" s="43" t="s">
        <v>155</v>
      </c>
      <c r="H64" s="47" t="s">
        <v>223</v>
      </c>
      <c r="I64" s="82" t="s">
        <v>555</v>
      </c>
      <c r="J64" s="47" t="s">
        <v>164</v>
      </c>
      <c r="K64" s="47"/>
      <c r="L64" s="45"/>
      <c r="M64" s="45"/>
      <c r="N64" s="47"/>
      <c r="O64" s="48"/>
      <c r="P64" s="49"/>
      <c r="Q64" s="50"/>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row>
    <row r="65" spans="2:68" ht="23.25" customHeight="1" x14ac:dyDescent="0.15">
      <c r="B65" s="33"/>
      <c r="C65" s="34" t="s">
        <v>123</v>
      </c>
      <c r="D65" s="40" t="s">
        <v>146</v>
      </c>
      <c r="E65" s="40" t="s">
        <v>148</v>
      </c>
      <c r="F65" s="41" t="s">
        <v>13</v>
      </c>
      <c r="G65" s="41" t="s">
        <v>155</v>
      </c>
      <c r="H65" s="35" t="s">
        <v>224</v>
      </c>
      <c r="I65" s="71"/>
      <c r="J65" s="35" t="s">
        <v>164</v>
      </c>
      <c r="K65" s="35" t="s">
        <v>200</v>
      </c>
      <c r="L65" s="34" t="s">
        <v>517</v>
      </c>
      <c r="M65" s="34" t="s">
        <v>516</v>
      </c>
      <c r="N65" s="35"/>
      <c r="O65" s="36"/>
      <c r="P65" s="64">
        <v>1</v>
      </c>
      <c r="Q65" s="38">
        <v>2</v>
      </c>
      <c r="R65" s="39">
        <v>3</v>
      </c>
      <c r="S65" s="39"/>
      <c r="T65" s="39">
        <v>3</v>
      </c>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row>
    <row r="66" spans="2:68" ht="23.25" customHeight="1" x14ac:dyDescent="0.15">
      <c r="B66" s="33"/>
      <c r="C66" s="42" t="s">
        <v>422</v>
      </c>
      <c r="D66" s="40" t="s">
        <v>146</v>
      </c>
      <c r="E66" s="40" t="s">
        <v>148</v>
      </c>
      <c r="F66" s="41" t="s">
        <v>13</v>
      </c>
      <c r="G66" s="41" t="s">
        <v>155</v>
      </c>
      <c r="H66" s="35" t="s">
        <v>472</v>
      </c>
      <c r="I66" s="71"/>
      <c r="J66" s="35" t="s">
        <v>164</v>
      </c>
      <c r="K66" s="35" t="s">
        <v>198</v>
      </c>
      <c r="L66" s="34" t="s">
        <v>541</v>
      </c>
      <c r="M66" s="34" t="s">
        <v>541</v>
      </c>
      <c r="N66" s="35"/>
      <c r="O66" s="36"/>
      <c r="P66" s="37"/>
      <c r="Q66" s="38"/>
      <c r="R66" s="39"/>
      <c r="S66" s="39"/>
      <c r="T66" s="39"/>
      <c r="U66" s="39"/>
      <c r="V66" s="39"/>
      <c r="W66" s="39"/>
      <c r="X66" s="39"/>
      <c r="Y66" s="39"/>
      <c r="Z66" s="39"/>
      <c r="AA66" s="39"/>
      <c r="AB66" s="39"/>
      <c r="AC66" s="39"/>
      <c r="AD66" s="39"/>
      <c r="AE66" s="39"/>
      <c r="AF66" s="39"/>
      <c r="AG66" s="39"/>
      <c r="AH66" s="39"/>
      <c r="AI66" s="39"/>
      <c r="AJ66" s="39">
        <v>4</v>
      </c>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row>
    <row r="67" spans="2:68" ht="23.25" customHeight="1" x14ac:dyDescent="0.15">
      <c r="B67" s="33"/>
      <c r="C67" s="42" t="s">
        <v>423</v>
      </c>
      <c r="D67" s="40" t="s">
        <v>146</v>
      </c>
      <c r="E67" s="40" t="s">
        <v>148</v>
      </c>
      <c r="F67" s="41" t="s">
        <v>13</v>
      </c>
      <c r="G67" s="41" t="s">
        <v>155</v>
      </c>
      <c r="H67" s="35" t="s">
        <v>356</v>
      </c>
      <c r="I67" s="71"/>
      <c r="J67" s="35" t="s">
        <v>164</v>
      </c>
      <c r="K67" s="35" t="s">
        <v>225</v>
      </c>
      <c r="L67" s="34" t="s">
        <v>539</v>
      </c>
      <c r="M67" s="34" t="s">
        <v>536</v>
      </c>
      <c r="N67" s="35"/>
      <c r="O67" s="36"/>
      <c r="P67" s="37"/>
      <c r="Q67" s="38"/>
      <c r="R67" s="39"/>
      <c r="S67" s="39"/>
      <c r="T67" s="39"/>
      <c r="U67" s="39"/>
      <c r="V67" s="39"/>
      <c r="W67" s="39"/>
      <c r="X67" s="39"/>
      <c r="Y67" s="39"/>
      <c r="Z67" s="39"/>
      <c r="AA67" s="39"/>
      <c r="AB67" s="39"/>
      <c r="AC67" s="39"/>
      <c r="AD67" s="39"/>
      <c r="AE67" s="39"/>
      <c r="AF67" s="39"/>
      <c r="AG67" s="39"/>
      <c r="AH67" s="39"/>
      <c r="AI67" s="39"/>
      <c r="AJ67" s="39"/>
      <c r="AK67" s="39">
        <v>4</v>
      </c>
      <c r="AL67" s="39">
        <v>4</v>
      </c>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row>
    <row r="68" spans="2:68" ht="23.25" customHeight="1" x14ac:dyDescent="0.15">
      <c r="B68" s="33"/>
      <c r="C68" s="42" t="s">
        <v>424</v>
      </c>
      <c r="D68" s="40" t="s">
        <v>146</v>
      </c>
      <c r="E68" s="40" t="s">
        <v>148</v>
      </c>
      <c r="F68" s="41" t="s">
        <v>13</v>
      </c>
      <c r="G68" s="41" t="s">
        <v>155</v>
      </c>
      <c r="H68" s="35" t="s">
        <v>226</v>
      </c>
      <c r="I68" s="71"/>
      <c r="J68" s="35" t="s">
        <v>164</v>
      </c>
      <c r="K68" s="35" t="s">
        <v>227</v>
      </c>
      <c r="L68" s="34" t="s">
        <v>505</v>
      </c>
      <c r="M68" s="34" t="s">
        <v>517</v>
      </c>
      <c r="N68" s="35"/>
      <c r="O68" s="36"/>
      <c r="P68" s="37"/>
      <c r="Q68" s="38"/>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v>5</v>
      </c>
      <c r="AT68" s="39"/>
      <c r="AU68" s="39"/>
      <c r="AV68" s="39"/>
      <c r="AW68" s="39"/>
      <c r="AX68" s="39"/>
      <c r="AY68" s="39"/>
      <c r="AZ68" s="39"/>
      <c r="BA68" s="39"/>
      <c r="BB68" s="39"/>
      <c r="BC68" s="39"/>
      <c r="BD68" s="39"/>
      <c r="BE68" s="39">
        <v>5</v>
      </c>
      <c r="BF68" s="39"/>
      <c r="BG68" s="39"/>
      <c r="BH68" s="39"/>
      <c r="BI68" s="39"/>
      <c r="BJ68" s="39"/>
      <c r="BK68" s="39"/>
      <c r="BL68" s="39"/>
      <c r="BM68" s="39"/>
      <c r="BN68" s="39"/>
      <c r="BO68" s="39"/>
      <c r="BP68" s="39"/>
    </row>
    <row r="69" spans="2:68" s="52" customFormat="1" ht="45" x14ac:dyDescent="0.15">
      <c r="B69" s="44"/>
      <c r="C69" s="53" t="s">
        <v>103</v>
      </c>
      <c r="D69" s="46" t="s">
        <v>146</v>
      </c>
      <c r="E69" s="46" t="s">
        <v>148</v>
      </c>
      <c r="F69" s="43" t="s">
        <v>13</v>
      </c>
      <c r="G69" s="43" t="s">
        <v>155</v>
      </c>
      <c r="H69" s="47" t="s">
        <v>228</v>
      </c>
      <c r="I69" s="82" t="s">
        <v>554</v>
      </c>
      <c r="J69" s="47" t="s">
        <v>164</v>
      </c>
      <c r="K69" s="47"/>
      <c r="L69" s="45"/>
      <c r="M69" s="45"/>
      <c r="N69" s="47"/>
      <c r="O69" s="48"/>
      <c r="P69" s="49"/>
      <c r="Q69" s="50"/>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row>
    <row r="70" spans="2:68" ht="23.25" customHeight="1" x14ac:dyDescent="0.15">
      <c r="B70" s="33"/>
      <c r="C70" s="42" t="s">
        <v>229</v>
      </c>
      <c r="D70" s="40" t="s">
        <v>146</v>
      </c>
      <c r="E70" s="40" t="s">
        <v>148</v>
      </c>
      <c r="F70" s="41" t="s">
        <v>13</v>
      </c>
      <c r="G70" s="41" t="s">
        <v>155</v>
      </c>
      <c r="H70" s="35" t="s">
        <v>230</v>
      </c>
      <c r="I70" s="71"/>
      <c r="J70" s="35" t="s">
        <v>164</v>
      </c>
      <c r="K70" s="35" t="s">
        <v>231</v>
      </c>
      <c r="L70" s="34"/>
      <c r="M70" s="34"/>
      <c r="N70" s="35" t="s">
        <v>473</v>
      </c>
      <c r="O70" s="36"/>
      <c r="P70" s="37"/>
      <c r="Q70" s="38"/>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row>
    <row r="71" spans="2:68" ht="23.25" customHeight="1" x14ac:dyDescent="0.15">
      <c r="B71" s="33"/>
      <c r="C71" s="55" t="s">
        <v>232</v>
      </c>
      <c r="D71" s="40" t="s">
        <v>146</v>
      </c>
      <c r="E71" s="40" t="s">
        <v>148</v>
      </c>
      <c r="F71" s="41" t="s">
        <v>13</v>
      </c>
      <c r="G71" s="41" t="s">
        <v>155</v>
      </c>
      <c r="H71" s="35" t="s">
        <v>233</v>
      </c>
      <c r="I71" s="71"/>
      <c r="J71" s="35" t="s">
        <v>164</v>
      </c>
      <c r="K71" s="35" t="s">
        <v>227</v>
      </c>
      <c r="L71" s="34" t="s">
        <v>506</v>
      </c>
      <c r="M71" s="34" t="s">
        <v>542</v>
      </c>
      <c r="N71" s="35"/>
      <c r="O71" s="36"/>
      <c r="P71" s="37"/>
      <c r="Q71" s="38"/>
      <c r="R71" s="39"/>
      <c r="S71" s="39"/>
      <c r="T71" s="39"/>
      <c r="U71" s="39"/>
      <c r="V71" s="39">
        <v>5</v>
      </c>
      <c r="W71" s="39"/>
      <c r="X71" s="39"/>
      <c r="Y71" s="39"/>
      <c r="Z71" s="39"/>
      <c r="AA71" s="39"/>
      <c r="AB71" s="39"/>
      <c r="AC71" s="39"/>
      <c r="AD71" s="39"/>
      <c r="AE71" s="39">
        <v>5</v>
      </c>
      <c r="AF71" s="39"/>
      <c r="AG71" s="39"/>
      <c r="AH71" s="39"/>
      <c r="AI71" s="39"/>
      <c r="AJ71" s="39"/>
      <c r="AK71" s="39"/>
      <c r="AL71" s="39"/>
      <c r="AM71" s="39"/>
      <c r="AN71" s="39"/>
      <c r="AO71" s="39"/>
      <c r="AP71" s="39"/>
      <c r="AQ71" s="39">
        <v>5</v>
      </c>
      <c r="AR71" s="39"/>
      <c r="AS71" s="39"/>
      <c r="AT71" s="39"/>
      <c r="AU71" s="39"/>
      <c r="AV71" s="39"/>
      <c r="AW71" s="39"/>
      <c r="AX71" s="39"/>
      <c r="AY71" s="39"/>
      <c r="AZ71" s="39">
        <v>5</v>
      </c>
      <c r="BA71" s="39"/>
      <c r="BB71" s="39"/>
      <c r="BC71" s="39"/>
      <c r="BD71" s="39"/>
      <c r="BE71" s="39"/>
      <c r="BF71" s="39"/>
      <c r="BG71" s="39"/>
      <c r="BH71" s="39"/>
      <c r="BI71" s="39"/>
      <c r="BJ71" s="39"/>
      <c r="BK71" s="39"/>
      <c r="BL71" s="39"/>
      <c r="BM71" s="39"/>
      <c r="BN71" s="39"/>
      <c r="BO71" s="39"/>
      <c r="BP71" s="39"/>
    </row>
    <row r="72" spans="2:68" ht="23.25" customHeight="1" x14ac:dyDescent="0.15">
      <c r="B72" s="33"/>
      <c r="C72" s="55" t="s">
        <v>234</v>
      </c>
      <c r="D72" s="40" t="s">
        <v>146</v>
      </c>
      <c r="E72" s="40" t="s">
        <v>148</v>
      </c>
      <c r="F72" s="41" t="s">
        <v>13</v>
      </c>
      <c r="G72" s="41" t="s">
        <v>155</v>
      </c>
      <c r="H72" s="35" t="s">
        <v>235</v>
      </c>
      <c r="I72" s="71"/>
      <c r="J72" s="35" t="s">
        <v>164</v>
      </c>
      <c r="K72" s="35" t="s">
        <v>236</v>
      </c>
      <c r="L72" s="34" t="s">
        <v>543</v>
      </c>
      <c r="M72" s="34" t="s">
        <v>544</v>
      </c>
      <c r="N72" s="35"/>
      <c r="O72" s="36"/>
      <c r="P72" s="37"/>
      <c r="Q72" s="38"/>
      <c r="R72" s="39"/>
      <c r="S72" s="39"/>
      <c r="T72" s="39"/>
      <c r="U72" s="39"/>
      <c r="V72" s="39"/>
      <c r="W72" s="39"/>
      <c r="X72" s="39"/>
      <c r="Y72" s="39"/>
      <c r="Z72" s="39"/>
      <c r="AA72" s="39"/>
      <c r="AB72" s="39"/>
      <c r="AC72" s="39"/>
      <c r="AD72" s="39"/>
      <c r="AE72" s="39">
        <v>4</v>
      </c>
      <c r="AF72" s="39"/>
      <c r="AG72" s="39"/>
      <c r="AH72" s="39"/>
      <c r="AI72" s="39"/>
      <c r="AJ72" s="39"/>
      <c r="AK72" s="39"/>
      <c r="AL72" s="39"/>
      <c r="AM72" s="39"/>
      <c r="AN72" s="39"/>
      <c r="AO72" s="39"/>
      <c r="AP72" s="39"/>
      <c r="AQ72" s="39">
        <v>4</v>
      </c>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row>
    <row r="73" spans="2:68" ht="23.25" customHeight="1" x14ac:dyDescent="0.15">
      <c r="B73" s="33"/>
      <c r="C73" s="55" t="s">
        <v>237</v>
      </c>
      <c r="D73" s="40" t="s">
        <v>146</v>
      </c>
      <c r="E73" s="40" t="s">
        <v>148</v>
      </c>
      <c r="F73" s="41" t="s">
        <v>13</v>
      </c>
      <c r="G73" s="41" t="s">
        <v>155</v>
      </c>
      <c r="H73" s="35" t="s">
        <v>199</v>
      </c>
      <c r="I73" s="71"/>
      <c r="J73" s="35" t="s">
        <v>164</v>
      </c>
      <c r="K73" s="35" t="s">
        <v>200</v>
      </c>
      <c r="L73" s="34" t="s">
        <v>538</v>
      </c>
      <c r="M73" s="34" t="s">
        <v>528</v>
      </c>
      <c r="N73" s="35"/>
      <c r="O73" s="36"/>
      <c r="P73" s="37"/>
      <c r="Q73" s="38"/>
      <c r="R73" s="39"/>
      <c r="S73" s="39"/>
      <c r="T73" s="39"/>
      <c r="U73" s="39"/>
      <c r="V73" s="39"/>
      <c r="W73" s="39"/>
      <c r="X73" s="39"/>
      <c r="Y73" s="39"/>
      <c r="Z73" s="39"/>
      <c r="AA73" s="39"/>
      <c r="AB73" s="39"/>
      <c r="AC73" s="39"/>
      <c r="AD73" s="39">
        <v>5</v>
      </c>
      <c r="AE73" s="39"/>
      <c r="AF73" s="39"/>
      <c r="AG73" s="39"/>
      <c r="AH73" s="39"/>
      <c r="AI73" s="39"/>
      <c r="AJ73" s="39"/>
      <c r="AK73" s="39"/>
      <c r="AL73" s="39"/>
      <c r="AM73" s="39"/>
      <c r="AN73" s="39"/>
      <c r="AO73" s="39"/>
      <c r="AP73" s="39"/>
      <c r="AQ73" s="39"/>
      <c r="AR73" s="39"/>
      <c r="AS73" s="39">
        <v>5</v>
      </c>
      <c r="AT73" s="39"/>
      <c r="AU73" s="39"/>
      <c r="AV73" s="39"/>
      <c r="AW73" s="39"/>
      <c r="AX73" s="39"/>
      <c r="AY73" s="39"/>
      <c r="AZ73" s="39"/>
      <c r="BA73" s="39"/>
      <c r="BB73" s="39"/>
      <c r="BC73" s="39"/>
      <c r="BD73" s="39"/>
      <c r="BE73" s="39">
        <v>5</v>
      </c>
      <c r="BF73" s="39"/>
      <c r="BG73" s="39"/>
      <c r="BH73" s="39"/>
      <c r="BI73" s="39"/>
      <c r="BJ73" s="39"/>
      <c r="BK73" s="39"/>
      <c r="BL73" s="39"/>
      <c r="BM73" s="39"/>
      <c r="BN73" s="39"/>
      <c r="BO73" s="39"/>
      <c r="BP73" s="39"/>
    </row>
    <row r="74" spans="2:68" s="52" customFormat="1" ht="33.75" x14ac:dyDescent="0.15">
      <c r="B74" s="44"/>
      <c r="C74" s="53" t="s">
        <v>238</v>
      </c>
      <c r="D74" s="46" t="s">
        <v>146</v>
      </c>
      <c r="E74" s="46" t="s">
        <v>148</v>
      </c>
      <c r="F74" s="43" t="s">
        <v>13</v>
      </c>
      <c r="G74" s="43" t="s">
        <v>155</v>
      </c>
      <c r="H74" s="47" t="s">
        <v>414</v>
      </c>
      <c r="I74" s="82" t="s">
        <v>469</v>
      </c>
      <c r="J74" s="47" t="s">
        <v>164</v>
      </c>
      <c r="K74" s="47"/>
      <c r="L74" s="45"/>
      <c r="M74" s="45"/>
      <c r="N74" s="47"/>
      <c r="O74" s="48"/>
      <c r="P74" s="49"/>
      <c r="Q74" s="50"/>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row>
    <row r="75" spans="2:68" ht="22.5" x14ac:dyDescent="0.15">
      <c r="B75" s="33"/>
      <c r="C75" s="42" t="s">
        <v>240</v>
      </c>
      <c r="D75" s="40" t="s">
        <v>146</v>
      </c>
      <c r="E75" s="40" t="s">
        <v>148</v>
      </c>
      <c r="F75" s="41" t="s">
        <v>13</v>
      </c>
      <c r="G75" s="41" t="s">
        <v>155</v>
      </c>
      <c r="H75" s="35" t="s">
        <v>415</v>
      </c>
      <c r="I75" s="35"/>
      <c r="J75" s="35" t="s">
        <v>164</v>
      </c>
      <c r="K75" s="35" t="s">
        <v>416</v>
      </c>
      <c r="L75" s="34" t="s">
        <v>506</v>
      </c>
      <c r="M75" s="34" t="s">
        <v>540</v>
      </c>
      <c r="N75" s="35"/>
      <c r="O75" s="36"/>
      <c r="P75" s="37"/>
      <c r="Q75" s="38"/>
      <c r="R75" s="39"/>
      <c r="S75" s="39"/>
      <c r="T75" s="39"/>
      <c r="U75" s="39"/>
      <c r="V75" s="39">
        <v>1</v>
      </c>
      <c r="W75" s="39">
        <v>2</v>
      </c>
      <c r="X75" s="39">
        <v>3</v>
      </c>
      <c r="Y75" s="39">
        <v>4</v>
      </c>
      <c r="Z75" s="39"/>
      <c r="AA75" s="39"/>
      <c r="AB75" s="39"/>
      <c r="AC75" s="39"/>
      <c r="AD75" s="39"/>
      <c r="AE75" s="39"/>
      <c r="AF75" s="39"/>
      <c r="AG75" s="39">
        <v>1</v>
      </c>
      <c r="AH75" s="39">
        <v>2</v>
      </c>
      <c r="AI75" s="39">
        <v>3</v>
      </c>
      <c r="AJ75" s="39">
        <v>4</v>
      </c>
      <c r="AK75" s="39"/>
      <c r="AL75" s="39"/>
      <c r="AM75" s="39">
        <v>4</v>
      </c>
      <c r="AN75" s="39"/>
      <c r="AO75" s="39"/>
      <c r="AP75" s="39"/>
      <c r="AQ75" s="39"/>
      <c r="AR75" s="39">
        <v>1</v>
      </c>
      <c r="AS75" s="39">
        <v>2</v>
      </c>
      <c r="AT75" s="39">
        <v>3</v>
      </c>
      <c r="AU75" s="39">
        <v>4</v>
      </c>
      <c r="AV75" s="39"/>
      <c r="AW75" s="39"/>
      <c r="AX75" s="39"/>
      <c r="AY75" s="39"/>
      <c r="AZ75" s="39"/>
      <c r="BA75" s="39"/>
      <c r="BB75" s="39"/>
      <c r="BC75" s="39"/>
      <c r="BD75" s="39"/>
      <c r="BE75" s="39"/>
      <c r="BF75" s="39"/>
      <c r="BG75" s="39"/>
      <c r="BH75" s="39"/>
      <c r="BI75" s="39"/>
      <c r="BJ75" s="39"/>
      <c r="BK75" s="39"/>
      <c r="BL75" s="39"/>
      <c r="BM75" s="39"/>
      <c r="BN75" s="39"/>
      <c r="BO75" s="39"/>
      <c r="BP75" s="39"/>
    </row>
    <row r="76" spans="2:68" ht="23.25" customHeight="1" x14ac:dyDescent="0.15">
      <c r="B76" s="33"/>
      <c r="C76" s="42" t="s">
        <v>243</v>
      </c>
      <c r="D76" s="40" t="s">
        <v>146</v>
      </c>
      <c r="E76" s="40" t="s">
        <v>148</v>
      </c>
      <c r="F76" s="41" t="s">
        <v>13</v>
      </c>
      <c r="G76" s="41" t="s">
        <v>155</v>
      </c>
      <c r="H76" s="35" t="s">
        <v>545</v>
      </c>
      <c r="I76" s="35"/>
      <c r="J76" s="35" t="s">
        <v>164</v>
      </c>
      <c r="K76" s="35" t="s">
        <v>417</v>
      </c>
      <c r="L76" s="34" t="s">
        <v>509</v>
      </c>
      <c r="M76" s="34" t="s">
        <v>528</v>
      </c>
      <c r="N76" s="35"/>
      <c r="O76" s="36"/>
      <c r="P76" s="37"/>
      <c r="Q76" s="38"/>
      <c r="R76" s="39"/>
      <c r="S76" s="39"/>
      <c r="T76" s="39"/>
      <c r="U76" s="39"/>
      <c r="V76" s="39"/>
      <c r="W76" s="39"/>
      <c r="X76" s="39"/>
      <c r="Y76" s="39"/>
      <c r="Z76" s="39">
        <v>5</v>
      </c>
      <c r="AA76" s="39"/>
      <c r="AB76" s="39"/>
      <c r="AC76" s="39"/>
      <c r="AD76" s="39"/>
      <c r="AE76" s="39"/>
      <c r="AF76" s="39"/>
      <c r="AG76" s="39"/>
      <c r="AH76" s="39"/>
      <c r="AI76" s="39"/>
      <c r="AJ76" s="39"/>
      <c r="AK76" s="39"/>
      <c r="AL76" s="39"/>
      <c r="AM76" s="39">
        <v>5</v>
      </c>
      <c r="AN76" s="39"/>
      <c r="AO76" s="39"/>
      <c r="AP76" s="39"/>
      <c r="AQ76" s="39"/>
      <c r="AR76" s="39"/>
      <c r="AS76" s="39"/>
      <c r="AT76" s="39"/>
      <c r="AU76" s="39"/>
      <c r="AV76" s="39">
        <v>5</v>
      </c>
      <c r="AW76" s="39"/>
      <c r="AX76" s="39"/>
      <c r="AY76" s="39"/>
      <c r="AZ76" s="39"/>
      <c r="BA76" s="39"/>
      <c r="BB76" s="39"/>
      <c r="BC76" s="39"/>
      <c r="BD76" s="39">
        <v>5</v>
      </c>
      <c r="BE76" s="39"/>
      <c r="BF76" s="39"/>
      <c r="BG76" s="39"/>
      <c r="BH76" s="39"/>
      <c r="BI76" s="39"/>
      <c r="BJ76" s="39"/>
      <c r="BK76" s="39"/>
      <c r="BL76" s="39"/>
      <c r="BM76" s="39"/>
      <c r="BN76" s="39"/>
      <c r="BO76" s="39"/>
      <c r="BP76" s="39"/>
    </row>
    <row r="77" spans="2:68" ht="23.25" customHeight="1" x14ac:dyDescent="0.15">
      <c r="B77" s="33"/>
      <c r="C77" s="55" t="s">
        <v>246</v>
      </c>
      <c r="D77" s="40" t="s">
        <v>146</v>
      </c>
      <c r="E77" s="40" t="s">
        <v>148</v>
      </c>
      <c r="F77" s="41" t="s">
        <v>13</v>
      </c>
      <c r="G77" s="41" t="s">
        <v>155</v>
      </c>
      <c r="H77" s="35" t="s">
        <v>418</v>
      </c>
      <c r="I77" s="35"/>
      <c r="J77" s="35" t="s">
        <v>164</v>
      </c>
      <c r="K77" s="35" t="s">
        <v>236</v>
      </c>
      <c r="L77" s="34" t="s">
        <v>546</v>
      </c>
      <c r="M77" s="34" t="s">
        <v>544</v>
      </c>
      <c r="N77" s="35"/>
      <c r="O77" s="36"/>
      <c r="P77" s="37"/>
      <c r="Q77" s="38"/>
      <c r="R77" s="39"/>
      <c r="S77" s="39"/>
      <c r="T77" s="39"/>
      <c r="U77" s="39"/>
      <c r="V77" s="39"/>
      <c r="W77" s="39"/>
      <c r="X77" s="39"/>
      <c r="Y77" s="39"/>
      <c r="Z77" s="39"/>
      <c r="AA77" s="39"/>
      <c r="AB77" s="39"/>
      <c r="AC77" s="39"/>
      <c r="AD77" s="39"/>
      <c r="AE77" s="39">
        <v>4</v>
      </c>
      <c r="AF77" s="39"/>
      <c r="AG77" s="39"/>
      <c r="AH77" s="39"/>
      <c r="AI77" s="39"/>
      <c r="AJ77" s="39"/>
      <c r="AK77" s="39"/>
      <c r="AL77" s="39"/>
      <c r="AM77" s="39"/>
      <c r="AN77" s="39"/>
      <c r="AO77" s="39"/>
      <c r="AP77" s="39"/>
      <c r="AQ77" s="39">
        <v>4</v>
      </c>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row>
    <row r="78" spans="2:68" ht="23.25" customHeight="1" x14ac:dyDescent="0.15">
      <c r="B78" s="33"/>
      <c r="C78" s="55" t="s">
        <v>248</v>
      </c>
      <c r="D78" s="40" t="s">
        <v>146</v>
      </c>
      <c r="E78" s="40" t="s">
        <v>148</v>
      </c>
      <c r="F78" s="41" t="s">
        <v>13</v>
      </c>
      <c r="G78" s="41" t="s">
        <v>155</v>
      </c>
      <c r="H78" s="35" t="s">
        <v>199</v>
      </c>
      <c r="I78" s="35"/>
      <c r="J78" s="35" t="s">
        <v>164</v>
      </c>
      <c r="K78" s="35" t="s">
        <v>200</v>
      </c>
      <c r="L78" s="34" t="s">
        <v>538</v>
      </c>
      <c r="M78" s="34" t="s">
        <v>528</v>
      </c>
      <c r="N78" s="35"/>
      <c r="O78" s="36"/>
      <c r="P78" s="37"/>
      <c r="Q78" s="38"/>
      <c r="R78" s="39"/>
      <c r="S78" s="39"/>
      <c r="T78" s="39"/>
      <c r="U78" s="39"/>
      <c r="V78" s="39"/>
      <c r="W78" s="39"/>
      <c r="X78" s="39"/>
      <c r="Y78" s="39"/>
      <c r="Z78" s="39"/>
      <c r="AA78" s="39"/>
      <c r="AB78" s="39"/>
      <c r="AC78" s="39"/>
      <c r="AD78" s="39">
        <v>5</v>
      </c>
      <c r="AE78" s="39"/>
      <c r="AF78" s="39"/>
      <c r="AG78" s="39"/>
      <c r="AH78" s="39"/>
      <c r="AI78" s="39"/>
      <c r="AJ78" s="39"/>
      <c r="AK78" s="39"/>
      <c r="AL78" s="39"/>
      <c r="AM78" s="39"/>
      <c r="AN78" s="39"/>
      <c r="AO78" s="39"/>
      <c r="AP78" s="39"/>
      <c r="AQ78" s="39"/>
      <c r="AR78" s="39"/>
      <c r="AS78" s="39">
        <v>5</v>
      </c>
      <c r="AT78" s="39"/>
      <c r="AU78" s="39"/>
      <c r="AV78" s="39"/>
      <c r="AW78" s="39"/>
      <c r="AX78" s="39"/>
      <c r="AY78" s="39"/>
      <c r="AZ78" s="39"/>
      <c r="BA78" s="39"/>
      <c r="BB78" s="39"/>
      <c r="BC78" s="39"/>
      <c r="BD78" s="39"/>
      <c r="BE78" s="39">
        <v>5</v>
      </c>
      <c r="BF78" s="39"/>
      <c r="BG78" s="39"/>
      <c r="BH78" s="39"/>
      <c r="BI78" s="39"/>
      <c r="BJ78" s="39"/>
      <c r="BK78" s="39"/>
      <c r="BL78" s="39"/>
      <c r="BM78" s="39"/>
      <c r="BN78" s="39"/>
      <c r="BO78" s="39"/>
      <c r="BP78" s="39"/>
    </row>
    <row r="79" spans="2:68" s="52" customFormat="1" ht="45" x14ac:dyDescent="0.15">
      <c r="B79" s="44"/>
      <c r="C79" s="53" t="s">
        <v>250</v>
      </c>
      <c r="D79" s="46" t="s">
        <v>146</v>
      </c>
      <c r="E79" s="46" t="s">
        <v>148</v>
      </c>
      <c r="F79" s="43" t="s">
        <v>13</v>
      </c>
      <c r="G79" s="43" t="s">
        <v>155</v>
      </c>
      <c r="H79" s="47" t="s">
        <v>260</v>
      </c>
      <c r="I79" s="82" t="s">
        <v>555</v>
      </c>
      <c r="J79" s="47" t="s">
        <v>164</v>
      </c>
      <c r="K79" s="47"/>
      <c r="L79" s="45"/>
      <c r="M79" s="45"/>
      <c r="N79" s="47"/>
      <c r="O79" s="48"/>
      <c r="P79" s="49"/>
      <c r="Q79" s="50"/>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row>
    <row r="80" spans="2:68" ht="33.75" x14ac:dyDescent="0.15">
      <c r="B80" s="33"/>
      <c r="C80" s="42" t="s">
        <v>251</v>
      </c>
      <c r="D80" s="40" t="s">
        <v>146</v>
      </c>
      <c r="E80" s="40" t="s">
        <v>148</v>
      </c>
      <c r="F80" s="41" t="s">
        <v>13</v>
      </c>
      <c r="G80" s="41" t="s">
        <v>155</v>
      </c>
      <c r="H80" s="35" t="s">
        <v>261</v>
      </c>
      <c r="I80" s="71"/>
      <c r="J80" s="35" t="s">
        <v>164</v>
      </c>
      <c r="K80" s="35" t="s">
        <v>236</v>
      </c>
      <c r="L80" s="34" t="s">
        <v>517</v>
      </c>
      <c r="M80" s="34" t="s">
        <v>516</v>
      </c>
      <c r="N80" s="35"/>
      <c r="O80" s="36"/>
      <c r="P80" s="64">
        <v>1</v>
      </c>
      <c r="Q80" s="38">
        <v>2</v>
      </c>
      <c r="R80" s="39">
        <v>3</v>
      </c>
      <c r="S80" s="39"/>
      <c r="T80" s="39">
        <v>3</v>
      </c>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row>
    <row r="81" spans="2:68" ht="23.25" customHeight="1" x14ac:dyDescent="0.15">
      <c r="B81" s="33"/>
      <c r="C81" s="42" t="s">
        <v>252</v>
      </c>
      <c r="D81" s="40" t="s">
        <v>146</v>
      </c>
      <c r="E81" s="40" t="s">
        <v>148</v>
      </c>
      <c r="F81" s="41" t="s">
        <v>13</v>
      </c>
      <c r="G81" s="41" t="s">
        <v>155</v>
      </c>
      <c r="H81" s="35" t="s">
        <v>253</v>
      </c>
      <c r="I81" s="71"/>
      <c r="J81" s="35" t="s">
        <v>164</v>
      </c>
      <c r="K81" s="35" t="s">
        <v>254</v>
      </c>
      <c r="L81" s="34" t="s">
        <v>529</v>
      </c>
      <c r="M81" s="34" t="s">
        <v>537</v>
      </c>
      <c r="N81" s="35"/>
      <c r="O81" s="36"/>
      <c r="P81" s="37"/>
      <c r="Q81" s="38"/>
      <c r="R81" s="39"/>
      <c r="S81" s="39"/>
      <c r="T81" s="39"/>
      <c r="U81" s="39">
        <v>5</v>
      </c>
      <c r="V81" s="39">
        <v>5</v>
      </c>
      <c r="W81" s="39"/>
      <c r="X81" s="39"/>
      <c r="Y81" s="39"/>
      <c r="Z81" s="39">
        <v>5</v>
      </c>
      <c r="AA81" s="39"/>
      <c r="AB81" s="39"/>
      <c r="AC81" s="39"/>
      <c r="AD81" s="39">
        <v>5</v>
      </c>
      <c r="AE81" s="39">
        <v>5</v>
      </c>
      <c r="AF81" s="39"/>
      <c r="AG81" s="39"/>
      <c r="AH81" s="39"/>
      <c r="AI81" s="39">
        <v>5</v>
      </c>
      <c r="AJ81" s="39">
        <v>5</v>
      </c>
      <c r="AK81" s="39"/>
      <c r="AL81" s="39">
        <v>5</v>
      </c>
      <c r="AM81" s="39">
        <v>5</v>
      </c>
      <c r="AN81" s="39"/>
      <c r="AO81" s="39"/>
      <c r="AP81" s="39"/>
      <c r="AQ81" s="39">
        <v>5</v>
      </c>
      <c r="AR81" s="39"/>
      <c r="AS81" s="39"/>
      <c r="AT81" s="39"/>
      <c r="AU81" s="39">
        <v>5</v>
      </c>
      <c r="AV81" s="39">
        <v>5</v>
      </c>
      <c r="AW81" s="39"/>
      <c r="AX81" s="39"/>
      <c r="AY81" s="39"/>
      <c r="AZ81" s="39">
        <v>5</v>
      </c>
      <c r="BA81" s="39"/>
      <c r="BB81" s="39"/>
      <c r="BC81" s="39"/>
      <c r="BD81" s="39">
        <v>5</v>
      </c>
      <c r="BE81" s="39"/>
      <c r="BF81" s="39"/>
      <c r="BG81" s="39"/>
      <c r="BH81" s="39">
        <v>5</v>
      </c>
      <c r="BI81" s="39"/>
      <c r="BJ81" s="39"/>
      <c r="BK81" s="39"/>
      <c r="BL81" s="39"/>
      <c r="BM81" s="39"/>
      <c r="BN81" s="39"/>
      <c r="BO81" s="39"/>
      <c r="BP81" s="39"/>
    </row>
    <row r="82" spans="2:68" ht="23.25" customHeight="1" x14ac:dyDescent="0.15">
      <c r="B82" s="33"/>
      <c r="C82" s="55" t="s">
        <v>255</v>
      </c>
      <c r="D82" s="40" t="s">
        <v>146</v>
      </c>
      <c r="E82" s="40" t="s">
        <v>148</v>
      </c>
      <c r="F82" s="41" t="s">
        <v>13</v>
      </c>
      <c r="G82" s="41" t="s">
        <v>155</v>
      </c>
      <c r="H82" s="35" t="s">
        <v>262</v>
      </c>
      <c r="I82" s="71"/>
      <c r="J82" s="35" t="s">
        <v>164</v>
      </c>
      <c r="K82" s="35" t="s">
        <v>256</v>
      </c>
      <c r="L82" s="34" t="s">
        <v>506</v>
      </c>
      <c r="M82" s="34" t="s">
        <v>537</v>
      </c>
      <c r="N82" s="35"/>
      <c r="O82" s="36"/>
      <c r="P82" s="37"/>
      <c r="Q82" s="38"/>
      <c r="R82" s="39"/>
      <c r="S82" s="39"/>
      <c r="T82" s="39"/>
      <c r="U82" s="39"/>
      <c r="V82" s="39">
        <v>4</v>
      </c>
      <c r="W82" s="39"/>
      <c r="X82" s="39"/>
      <c r="Y82" s="39"/>
      <c r="Z82" s="39">
        <v>4</v>
      </c>
      <c r="AA82" s="39"/>
      <c r="AB82" s="39"/>
      <c r="AC82" s="39"/>
      <c r="AD82" s="39"/>
      <c r="AE82" s="39">
        <v>4</v>
      </c>
      <c r="AF82" s="39"/>
      <c r="AG82" s="39"/>
      <c r="AH82" s="39"/>
      <c r="AI82" s="39"/>
      <c r="AJ82" s="39">
        <v>4</v>
      </c>
      <c r="AK82" s="39"/>
      <c r="AL82" s="39"/>
      <c r="AM82" s="39">
        <v>4</v>
      </c>
      <c r="AN82" s="39"/>
      <c r="AO82" s="39"/>
      <c r="AP82" s="39"/>
      <c r="AQ82" s="39">
        <v>4</v>
      </c>
      <c r="AR82" s="39"/>
      <c r="AS82" s="39"/>
      <c r="AT82" s="39"/>
      <c r="AU82" s="39"/>
      <c r="AV82" s="39">
        <v>4</v>
      </c>
      <c r="AW82" s="39"/>
      <c r="AX82" s="39"/>
      <c r="AY82" s="39"/>
      <c r="AZ82" s="39">
        <v>4</v>
      </c>
      <c r="BA82" s="39"/>
      <c r="BB82" s="39"/>
      <c r="BC82" s="39"/>
      <c r="BD82" s="39">
        <v>4</v>
      </c>
      <c r="BE82" s="39"/>
      <c r="BF82" s="39"/>
      <c r="BG82" s="39"/>
      <c r="BH82" s="39">
        <v>4</v>
      </c>
      <c r="BI82" s="39"/>
      <c r="BJ82" s="39"/>
      <c r="BK82" s="39"/>
      <c r="BL82" s="39"/>
      <c r="BM82" s="39"/>
      <c r="BN82" s="39"/>
      <c r="BO82" s="39"/>
      <c r="BP82" s="39"/>
    </row>
    <row r="83" spans="2:68" ht="23.25" customHeight="1" x14ac:dyDescent="0.15">
      <c r="B83" s="33"/>
      <c r="C83" s="55" t="s">
        <v>257</v>
      </c>
      <c r="D83" s="40" t="s">
        <v>146</v>
      </c>
      <c r="E83" s="40" t="s">
        <v>148</v>
      </c>
      <c r="F83" s="41" t="s">
        <v>13</v>
      </c>
      <c r="G83" s="41" t="s">
        <v>155</v>
      </c>
      <c r="H83" s="35" t="s">
        <v>258</v>
      </c>
      <c r="I83" s="71"/>
      <c r="J83" s="35" t="s">
        <v>164</v>
      </c>
      <c r="K83" s="35" t="s">
        <v>259</v>
      </c>
      <c r="L83" s="34" t="s">
        <v>538</v>
      </c>
      <c r="M83" s="34" t="s">
        <v>528</v>
      </c>
      <c r="N83" s="35"/>
      <c r="O83" s="36"/>
      <c r="P83" s="37"/>
      <c r="Q83" s="38"/>
      <c r="R83" s="39"/>
      <c r="S83" s="39"/>
      <c r="T83" s="39"/>
      <c r="U83" s="39"/>
      <c r="V83" s="39"/>
      <c r="W83" s="39"/>
      <c r="X83" s="39"/>
      <c r="Y83" s="39"/>
      <c r="Z83" s="39"/>
      <c r="AA83" s="39"/>
      <c r="AB83" s="39"/>
      <c r="AC83" s="39"/>
      <c r="AD83" s="39">
        <v>5</v>
      </c>
      <c r="AE83" s="39"/>
      <c r="AF83" s="39"/>
      <c r="AG83" s="39"/>
      <c r="AH83" s="39"/>
      <c r="AI83" s="39"/>
      <c r="AJ83" s="39"/>
      <c r="AK83" s="39"/>
      <c r="AL83" s="39"/>
      <c r="AM83" s="39"/>
      <c r="AN83" s="39"/>
      <c r="AO83" s="39"/>
      <c r="AP83" s="39"/>
      <c r="AQ83" s="39"/>
      <c r="AR83" s="39"/>
      <c r="AS83" s="39">
        <v>5</v>
      </c>
      <c r="AT83" s="39"/>
      <c r="AU83" s="39"/>
      <c r="AV83" s="39"/>
      <c r="AW83" s="39"/>
      <c r="AX83" s="39"/>
      <c r="AY83" s="39"/>
      <c r="AZ83" s="39"/>
      <c r="BA83" s="39"/>
      <c r="BB83" s="39"/>
      <c r="BC83" s="39"/>
      <c r="BD83" s="39"/>
      <c r="BE83" s="39">
        <v>5</v>
      </c>
      <c r="BF83" s="39"/>
      <c r="BG83" s="39"/>
      <c r="BH83" s="39"/>
      <c r="BI83" s="39"/>
      <c r="BJ83" s="39"/>
      <c r="BK83" s="39"/>
      <c r="BL83" s="39"/>
      <c r="BM83" s="39"/>
      <c r="BN83" s="39"/>
      <c r="BO83" s="39"/>
      <c r="BP83" s="39"/>
    </row>
    <row r="84" spans="2:68" s="52" customFormat="1" ht="45" x14ac:dyDescent="0.15">
      <c r="B84" s="44"/>
      <c r="C84" s="53" t="s">
        <v>425</v>
      </c>
      <c r="D84" s="46" t="s">
        <v>146</v>
      </c>
      <c r="E84" s="46" t="s">
        <v>148</v>
      </c>
      <c r="F84" s="43" t="s">
        <v>13</v>
      </c>
      <c r="G84" s="43" t="s">
        <v>155</v>
      </c>
      <c r="H84" s="47" t="s">
        <v>239</v>
      </c>
      <c r="I84" s="82" t="s">
        <v>553</v>
      </c>
      <c r="J84" s="47" t="s">
        <v>164</v>
      </c>
      <c r="K84" s="47"/>
      <c r="L84" s="45"/>
      <c r="M84" s="45"/>
      <c r="N84" s="47"/>
      <c r="O84" s="48"/>
      <c r="P84" s="49"/>
      <c r="Q84" s="50"/>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row>
    <row r="85" spans="2:68" ht="56.25" x14ac:dyDescent="0.15">
      <c r="B85" s="33"/>
      <c r="C85" s="42" t="s">
        <v>426</v>
      </c>
      <c r="D85" s="40" t="s">
        <v>146</v>
      </c>
      <c r="E85" s="40" t="s">
        <v>148</v>
      </c>
      <c r="F85" s="41" t="s">
        <v>13</v>
      </c>
      <c r="G85" s="41" t="s">
        <v>155</v>
      </c>
      <c r="H85" s="35" t="s">
        <v>241</v>
      </c>
      <c r="I85" s="71"/>
      <c r="J85" s="35" t="s">
        <v>164</v>
      </c>
      <c r="K85" s="35" t="s">
        <v>242</v>
      </c>
      <c r="L85" s="34" t="s">
        <v>517</v>
      </c>
      <c r="M85" s="34" t="s">
        <v>516</v>
      </c>
      <c r="N85" s="35"/>
      <c r="O85" s="36"/>
      <c r="P85" s="64">
        <v>1</v>
      </c>
      <c r="Q85" s="38">
        <v>2</v>
      </c>
      <c r="R85" s="39">
        <v>3</v>
      </c>
      <c r="S85" s="39"/>
      <c r="T85" s="39">
        <v>3</v>
      </c>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row>
    <row r="86" spans="2:68" ht="33.75" x14ac:dyDescent="0.15">
      <c r="B86" s="33"/>
      <c r="C86" s="55" t="s">
        <v>427</v>
      </c>
      <c r="D86" s="40" t="s">
        <v>146</v>
      </c>
      <c r="E86" s="40" t="s">
        <v>148</v>
      </c>
      <c r="F86" s="41" t="s">
        <v>13</v>
      </c>
      <c r="G86" s="41" t="s">
        <v>155</v>
      </c>
      <c r="H86" s="35" t="s">
        <v>244</v>
      </c>
      <c r="I86" s="71"/>
      <c r="J86" s="35" t="s">
        <v>164</v>
      </c>
      <c r="K86" s="35" t="s">
        <v>245</v>
      </c>
      <c r="L86" s="34" t="s">
        <v>514</v>
      </c>
      <c r="M86" s="34" t="s">
        <v>516</v>
      </c>
      <c r="N86" s="35"/>
      <c r="O86" s="36"/>
      <c r="P86" s="37"/>
      <c r="Q86" s="38"/>
      <c r="R86" s="39">
        <v>4</v>
      </c>
      <c r="S86" s="39"/>
      <c r="T86" s="39">
        <v>4</v>
      </c>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row>
    <row r="87" spans="2:68" ht="23.25" customHeight="1" x14ac:dyDescent="0.15">
      <c r="B87" s="33"/>
      <c r="C87" s="55" t="s">
        <v>428</v>
      </c>
      <c r="D87" s="40" t="s">
        <v>146</v>
      </c>
      <c r="E87" s="40" t="s">
        <v>148</v>
      </c>
      <c r="F87" s="41" t="s">
        <v>13</v>
      </c>
      <c r="G87" s="41" t="s">
        <v>155</v>
      </c>
      <c r="H87" s="35" t="s">
        <v>247</v>
      </c>
      <c r="I87" s="71"/>
      <c r="J87" s="35" t="s">
        <v>164</v>
      </c>
      <c r="K87" s="35" t="s">
        <v>216</v>
      </c>
      <c r="L87" s="34" t="s">
        <v>513</v>
      </c>
      <c r="M87" s="34" t="s">
        <v>513</v>
      </c>
      <c r="N87" s="35"/>
      <c r="O87" s="36"/>
      <c r="P87" s="37"/>
      <c r="Q87" s="38"/>
      <c r="R87" s="39">
        <v>4</v>
      </c>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row>
    <row r="88" spans="2:68" ht="22.5" x14ac:dyDescent="0.15">
      <c r="B88" s="33"/>
      <c r="C88" s="55" t="s">
        <v>429</v>
      </c>
      <c r="D88" s="40" t="s">
        <v>146</v>
      </c>
      <c r="E88" s="40" t="s">
        <v>148</v>
      </c>
      <c r="F88" s="41" t="s">
        <v>13</v>
      </c>
      <c r="G88" s="41" t="s">
        <v>155</v>
      </c>
      <c r="H88" s="35" t="s">
        <v>249</v>
      </c>
      <c r="I88" s="71"/>
      <c r="J88" s="35" t="s">
        <v>164</v>
      </c>
      <c r="K88" s="35" t="s">
        <v>242</v>
      </c>
      <c r="L88" s="34" t="s">
        <v>538</v>
      </c>
      <c r="M88" s="34" t="s">
        <v>528</v>
      </c>
      <c r="N88" s="35"/>
      <c r="O88" s="36"/>
      <c r="P88" s="37"/>
      <c r="Q88" s="38"/>
      <c r="R88" s="39"/>
      <c r="S88" s="39"/>
      <c r="T88" s="39"/>
      <c r="U88" s="39"/>
      <c r="V88" s="39"/>
      <c r="W88" s="39"/>
      <c r="X88" s="39"/>
      <c r="Y88" s="39"/>
      <c r="Z88" s="39"/>
      <c r="AA88" s="39"/>
      <c r="AB88" s="39"/>
      <c r="AC88" s="39"/>
      <c r="AD88" s="39">
        <v>5</v>
      </c>
      <c r="AE88" s="39"/>
      <c r="AF88" s="39"/>
      <c r="AG88" s="39"/>
      <c r="AH88" s="39"/>
      <c r="AI88" s="39"/>
      <c r="AJ88" s="39"/>
      <c r="AK88" s="39"/>
      <c r="AL88" s="39"/>
      <c r="AM88" s="39"/>
      <c r="AN88" s="39"/>
      <c r="AO88" s="39"/>
      <c r="AP88" s="39"/>
      <c r="AQ88" s="39"/>
      <c r="AR88" s="39"/>
      <c r="AS88" s="39">
        <v>5</v>
      </c>
      <c r="AT88" s="39"/>
      <c r="AU88" s="39"/>
      <c r="AV88" s="39"/>
      <c r="AW88" s="39"/>
      <c r="AX88" s="39"/>
      <c r="AY88" s="39"/>
      <c r="AZ88" s="39"/>
      <c r="BA88" s="39"/>
      <c r="BB88" s="39"/>
      <c r="BC88" s="39"/>
      <c r="BD88" s="39"/>
      <c r="BE88" s="39">
        <v>5</v>
      </c>
      <c r="BF88" s="39"/>
      <c r="BG88" s="39"/>
      <c r="BH88" s="39"/>
      <c r="BI88" s="39"/>
      <c r="BJ88" s="39"/>
      <c r="BK88" s="39"/>
      <c r="BL88" s="39"/>
      <c r="BM88" s="39"/>
      <c r="BN88" s="39"/>
      <c r="BO88" s="39"/>
      <c r="BP88" s="39"/>
    </row>
    <row r="89" spans="2:68" ht="22.5" hidden="1" x14ac:dyDescent="0.15">
      <c r="B89" s="33"/>
      <c r="C89" s="34">
        <v>5</v>
      </c>
      <c r="D89" s="40" t="s">
        <v>11</v>
      </c>
      <c r="E89" s="40" t="s">
        <v>76</v>
      </c>
      <c r="F89" s="41" t="s">
        <v>149</v>
      </c>
      <c r="G89" s="41" t="s">
        <v>156</v>
      </c>
      <c r="H89" s="41" t="s">
        <v>156</v>
      </c>
      <c r="I89" s="71"/>
      <c r="J89" s="35"/>
      <c r="K89" s="35"/>
      <c r="L89" s="34"/>
      <c r="M89" s="34"/>
      <c r="N89" s="35"/>
      <c r="O89" s="36"/>
      <c r="P89" s="37"/>
      <c r="Q89" s="38"/>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row>
    <row r="90" spans="2:68" ht="22.5" hidden="1" x14ac:dyDescent="0.15">
      <c r="B90" s="33"/>
      <c r="C90" s="34" t="s">
        <v>104</v>
      </c>
      <c r="D90" s="40" t="s">
        <v>11</v>
      </c>
      <c r="E90" s="40" t="s">
        <v>76</v>
      </c>
      <c r="F90" s="41" t="s">
        <v>72</v>
      </c>
      <c r="G90" s="41" t="s">
        <v>156</v>
      </c>
      <c r="H90" s="35" t="s">
        <v>120</v>
      </c>
      <c r="I90" s="71"/>
      <c r="J90" s="35"/>
      <c r="K90" s="35"/>
      <c r="L90" s="34"/>
      <c r="M90" s="34"/>
      <c r="N90" s="35"/>
      <c r="O90" s="36"/>
      <c r="P90" s="37"/>
      <c r="Q90" s="38"/>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row>
    <row r="91" spans="2:68" ht="22.5" hidden="1" x14ac:dyDescent="0.15">
      <c r="B91" s="33"/>
      <c r="C91" s="34" t="s">
        <v>124</v>
      </c>
      <c r="D91" s="40" t="s">
        <v>11</v>
      </c>
      <c r="E91" s="40" t="s">
        <v>76</v>
      </c>
      <c r="F91" s="41" t="s">
        <v>72</v>
      </c>
      <c r="G91" s="41" t="s">
        <v>156</v>
      </c>
      <c r="H91" s="35" t="s">
        <v>119</v>
      </c>
      <c r="I91" s="71"/>
      <c r="J91" s="35"/>
      <c r="K91" s="35"/>
      <c r="L91" s="34"/>
      <c r="M91" s="34"/>
      <c r="N91" s="35"/>
      <c r="O91" s="36"/>
      <c r="P91" s="37"/>
      <c r="Q91" s="38"/>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row>
    <row r="92" spans="2:68" ht="22.5" hidden="1" x14ac:dyDescent="0.15">
      <c r="B92" s="33"/>
      <c r="C92" s="34" t="s">
        <v>105</v>
      </c>
      <c r="D92" s="40" t="s">
        <v>11</v>
      </c>
      <c r="E92" s="40" t="s">
        <v>76</v>
      </c>
      <c r="F92" s="41" t="s">
        <v>72</v>
      </c>
      <c r="G92" s="41" t="s">
        <v>156</v>
      </c>
      <c r="H92" s="35" t="s">
        <v>120</v>
      </c>
      <c r="I92" s="71"/>
      <c r="J92" s="35"/>
      <c r="K92" s="35"/>
      <c r="L92" s="34"/>
      <c r="M92" s="34"/>
      <c r="N92" s="35"/>
      <c r="O92" s="36"/>
      <c r="P92" s="37"/>
      <c r="Q92" s="38"/>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row>
    <row r="93" spans="2:68" ht="22.5" hidden="1" x14ac:dyDescent="0.15">
      <c r="B93" s="33"/>
      <c r="C93" s="34">
        <v>6</v>
      </c>
      <c r="D93" s="40" t="s">
        <v>11</v>
      </c>
      <c r="E93" s="40" t="s">
        <v>76</v>
      </c>
      <c r="F93" s="41" t="s">
        <v>149</v>
      </c>
      <c r="G93" s="41" t="s">
        <v>157</v>
      </c>
      <c r="H93" s="41" t="s">
        <v>157</v>
      </c>
      <c r="I93" s="71"/>
      <c r="J93" s="35"/>
      <c r="K93" s="35"/>
      <c r="L93" s="34"/>
      <c r="M93" s="34"/>
      <c r="N93" s="35"/>
      <c r="O93" s="36"/>
      <c r="P93" s="37"/>
      <c r="Q93" s="38"/>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row>
    <row r="94" spans="2:68" ht="22.5" hidden="1" x14ac:dyDescent="0.15">
      <c r="B94" s="33"/>
      <c r="C94" s="34" t="s">
        <v>106</v>
      </c>
      <c r="D94" s="40" t="s">
        <v>11</v>
      </c>
      <c r="E94" s="40" t="s">
        <v>76</v>
      </c>
      <c r="F94" s="41" t="s">
        <v>72</v>
      </c>
      <c r="G94" s="41" t="s">
        <v>157</v>
      </c>
      <c r="H94" s="35" t="s">
        <v>120</v>
      </c>
      <c r="I94" s="71"/>
      <c r="J94" s="35"/>
      <c r="K94" s="35"/>
      <c r="L94" s="34"/>
      <c r="M94" s="34"/>
      <c r="N94" s="35"/>
      <c r="O94" s="36"/>
      <c r="P94" s="37"/>
      <c r="Q94" s="38"/>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row>
    <row r="95" spans="2:68" ht="22.5" hidden="1" x14ac:dyDescent="0.15">
      <c r="B95" s="33"/>
      <c r="C95" s="34" t="s">
        <v>125</v>
      </c>
      <c r="D95" s="40" t="s">
        <v>11</v>
      </c>
      <c r="E95" s="40" t="s">
        <v>76</v>
      </c>
      <c r="F95" s="41" t="s">
        <v>72</v>
      </c>
      <c r="G95" s="41" t="s">
        <v>157</v>
      </c>
      <c r="H95" s="35" t="s">
        <v>119</v>
      </c>
      <c r="I95" s="71"/>
      <c r="J95" s="35"/>
      <c r="K95" s="35"/>
      <c r="L95" s="34"/>
      <c r="M95" s="34"/>
      <c r="N95" s="35"/>
      <c r="O95" s="36"/>
      <c r="P95" s="37"/>
      <c r="Q95" s="38"/>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row>
    <row r="96" spans="2:68" ht="22.5" hidden="1" x14ac:dyDescent="0.15">
      <c r="B96" s="33"/>
      <c r="C96" s="34" t="s">
        <v>107</v>
      </c>
      <c r="D96" s="40" t="s">
        <v>11</v>
      </c>
      <c r="E96" s="40" t="s">
        <v>76</v>
      </c>
      <c r="F96" s="41" t="s">
        <v>72</v>
      </c>
      <c r="G96" s="41" t="s">
        <v>157</v>
      </c>
      <c r="H96" s="35" t="s">
        <v>120</v>
      </c>
      <c r="I96" s="71"/>
      <c r="J96" s="35"/>
      <c r="K96" s="35"/>
      <c r="L96" s="34"/>
      <c r="M96" s="34"/>
      <c r="N96" s="35"/>
      <c r="O96" s="36"/>
      <c r="P96" s="37"/>
      <c r="Q96" s="38"/>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row>
    <row r="97" spans="2:68" ht="22.5" hidden="1" x14ac:dyDescent="0.15">
      <c r="B97" s="33"/>
      <c r="C97" s="34">
        <v>7</v>
      </c>
      <c r="D97" s="40" t="s">
        <v>11</v>
      </c>
      <c r="E97" s="40" t="s">
        <v>76</v>
      </c>
      <c r="F97" s="41" t="s">
        <v>149</v>
      </c>
      <c r="G97" s="41" t="s">
        <v>138</v>
      </c>
      <c r="H97" s="41" t="s">
        <v>138</v>
      </c>
      <c r="I97" s="71"/>
      <c r="J97" s="35"/>
      <c r="K97" s="35"/>
      <c r="L97" s="34"/>
      <c r="M97" s="34"/>
      <c r="N97" s="35"/>
      <c r="O97" s="36"/>
      <c r="P97" s="37"/>
      <c r="Q97" s="38"/>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row>
    <row r="98" spans="2:68" ht="22.5" hidden="1" x14ac:dyDescent="0.15">
      <c r="B98" s="33"/>
      <c r="C98" s="34" t="s">
        <v>108</v>
      </c>
      <c r="D98" s="40" t="s">
        <v>11</v>
      </c>
      <c r="E98" s="40" t="s">
        <v>76</v>
      </c>
      <c r="F98" s="41" t="s">
        <v>72</v>
      </c>
      <c r="G98" s="41" t="s">
        <v>138</v>
      </c>
      <c r="H98" s="35" t="s">
        <v>120</v>
      </c>
      <c r="I98" s="71"/>
      <c r="J98" s="35"/>
      <c r="K98" s="35"/>
      <c r="L98" s="34"/>
      <c r="M98" s="34"/>
      <c r="N98" s="35"/>
      <c r="O98" s="36"/>
      <c r="P98" s="37"/>
      <c r="Q98" s="38"/>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row>
    <row r="99" spans="2:68" ht="22.5" hidden="1" x14ac:dyDescent="0.15">
      <c r="B99" s="33"/>
      <c r="C99" s="34" t="s">
        <v>126</v>
      </c>
      <c r="D99" s="40" t="s">
        <v>11</v>
      </c>
      <c r="E99" s="40" t="s">
        <v>76</v>
      </c>
      <c r="F99" s="41" t="s">
        <v>72</v>
      </c>
      <c r="G99" s="41" t="s">
        <v>138</v>
      </c>
      <c r="H99" s="35" t="s">
        <v>119</v>
      </c>
      <c r="I99" s="71"/>
      <c r="J99" s="35"/>
      <c r="K99" s="35"/>
      <c r="L99" s="34"/>
      <c r="M99" s="34"/>
      <c r="N99" s="35"/>
      <c r="O99" s="36"/>
      <c r="P99" s="37"/>
      <c r="Q99" s="38"/>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row>
    <row r="100" spans="2:68" ht="22.5" hidden="1" x14ac:dyDescent="0.15">
      <c r="B100" s="33"/>
      <c r="C100" s="34" t="s">
        <v>109</v>
      </c>
      <c r="D100" s="40" t="s">
        <v>11</v>
      </c>
      <c r="E100" s="40" t="s">
        <v>76</v>
      </c>
      <c r="F100" s="41" t="s">
        <v>72</v>
      </c>
      <c r="G100" s="41" t="s">
        <v>138</v>
      </c>
      <c r="H100" s="35" t="s">
        <v>120</v>
      </c>
      <c r="I100" s="71"/>
      <c r="J100" s="35"/>
      <c r="K100" s="35"/>
      <c r="L100" s="34"/>
      <c r="M100" s="34"/>
      <c r="N100" s="35"/>
      <c r="O100" s="36"/>
      <c r="P100" s="37"/>
      <c r="Q100" s="38"/>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row>
    <row r="101" spans="2:68" ht="22.5" hidden="1" x14ac:dyDescent="0.15">
      <c r="B101" s="33"/>
      <c r="C101" s="34">
        <v>8</v>
      </c>
      <c r="D101" s="40" t="s">
        <v>11</v>
      </c>
      <c r="E101" s="40" t="s">
        <v>76</v>
      </c>
      <c r="F101" s="41" t="s">
        <v>149</v>
      </c>
      <c r="G101" s="41" t="s">
        <v>158</v>
      </c>
      <c r="H101" s="41" t="s">
        <v>158</v>
      </c>
      <c r="I101" s="71"/>
      <c r="J101" s="35"/>
      <c r="K101" s="35"/>
      <c r="L101" s="34"/>
      <c r="M101" s="34"/>
      <c r="N101" s="35"/>
      <c r="O101" s="36"/>
      <c r="P101" s="37"/>
      <c r="Q101" s="38"/>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row>
    <row r="102" spans="2:68" ht="22.5" hidden="1" x14ac:dyDescent="0.15">
      <c r="B102" s="33"/>
      <c r="C102" s="34" t="s">
        <v>110</v>
      </c>
      <c r="D102" s="40" t="s">
        <v>11</v>
      </c>
      <c r="E102" s="40" t="s">
        <v>76</v>
      </c>
      <c r="F102" s="41" t="s">
        <v>72</v>
      </c>
      <c r="G102" s="41" t="s">
        <v>158</v>
      </c>
      <c r="H102" s="35" t="s">
        <v>120</v>
      </c>
      <c r="I102" s="71"/>
      <c r="J102" s="35"/>
      <c r="K102" s="35"/>
      <c r="L102" s="34"/>
      <c r="M102" s="34"/>
      <c r="N102" s="35"/>
      <c r="O102" s="36"/>
      <c r="P102" s="37"/>
      <c r="Q102" s="38"/>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row>
    <row r="103" spans="2:68" ht="22.5" hidden="1" x14ac:dyDescent="0.15">
      <c r="B103" s="33"/>
      <c r="C103" s="34" t="s">
        <v>127</v>
      </c>
      <c r="D103" s="40" t="s">
        <v>11</v>
      </c>
      <c r="E103" s="40" t="s">
        <v>76</v>
      </c>
      <c r="F103" s="41" t="s">
        <v>72</v>
      </c>
      <c r="G103" s="41" t="s">
        <v>158</v>
      </c>
      <c r="H103" s="35" t="s">
        <v>119</v>
      </c>
      <c r="I103" s="71"/>
      <c r="J103" s="35"/>
      <c r="K103" s="35"/>
      <c r="L103" s="34"/>
      <c r="M103" s="34"/>
      <c r="N103" s="35"/>
      <c r="O103" s="36"/>
      <c r="P103" s="37"/>
      <c r="Q103" s="38"/>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row>
    <row r="104" spans="2:68" ht="22.5" hidden="1" x14ac:dyDescent="0.15">
      <c r="B104" s="33"/>
      <c r="C104" s="34" t="s">
        <v>111</v>
      </c>
      <c r="D104" s="40" t="s">
        <v>11</v>
      </c>
      <c r="E104" s="40" t="s">
        <v>76</v>
      </c>
      <c r="F104" s="41" t="s">
        <v>72</v>
      </c>
      <c r="G104" s="41" t="s">
        <v>158</v>
      </c>
      <c r="H104" s="35" t="s">
        <v>120</v>
      </c>
      <c r="I104" s="71"/>
      <c r="J104" s="35"/>
      <c r="K104" s="35"/>
      <c r="L104" s="34"/>
      <c r="M104" s="34"/>
      <c r="N104" s="35"/>
      <c r="O104" s="36"/>
      <c r="P104" s="37"/>
      <c r="Q104" s="38"/>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row>
    <row r="105" spans="2:68" ht="22.5" hidden="1" x14ac:dyDescent="0.15">
      <c r="B105" s="33"/>
      <c r="C105" s="34">
        <v>9</v>
      </c>
      <c r="D105" s="40" t="s">
        <v>147</v>
      </c>
      <c r="E105" s="40" t="s">
        <v>73</v>
      </c>
      <c r="F105" s="41" t="s">
        <v>149</v>
      </c>
      <c r="G105" s="41" t="s">
        <v>150</v>
      </c>
      <c r="H105" s="41" t="s">
        <v>150</v>
      </c>
      <c r="I105" s="71"/>
      <c r="J105" s="35"/>
      <c r="K105" s="35"/>
      <c r="L105" s="34"/>
      <c r="M105" s="34"/>
      <c r="N105" s="35"/>
      <c r="O105" s="36"/>
      <c r="P105" s="37"/>
      <c r="Q105" s="38"/>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row>
    <row r="106" spans="2:68" ht="22.5" hidden="1" x14ac:dyDescent="0.15">
      <c r="B106" s="33"/>
      <c r="C106" s="34" t="s">
        <v>85</v>
      </c>
      <c r="D106" s="40" t="s">
        <v>147</v>
      </c>
      <c r="E106" s="40" t="s">
        <v>73</v>
      </c>
      <c r="F106" s="41" t="s">
        <v>72</v>
      </c>
      <c r="G106" s="41" t="s">
        <v>150</v>
      </c>
      <c r="H106" s="35" t="s">
        <v>120</v>
      </c>
      <c r="I106" s="71"/>
      <c r="J106" s="35"/>
      <c r="K106" s="35"/>
      <c r="L106" s="34"/>
      <c r="M106" s="34"/>
      <c r="N106" s="35"/>
      <c r="O106" s="36"/>
      <c r="P106" s="37"/>
      <c r="Q106" s="38"/>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row>
    <row r="107" spans="2:68" ht="22.5" hidden="1" x14ac:dyDescent="0.15">
      <c r="B107" s="33"/>
      <c r="C107" s="34" t="s">
        <v>128</v>
      </c>
      <c r="D107" s="40" t="s">
        <v>147</v>
      </c>
      <c r="E107" s="40" t="s">
        <v>73</v>
      </c>
      <c r="F107" s="41" t="s">
        <v>72</v>
      </c>
      <c r="G107" s="41" t="s">
        <v>150</v>
      </c>
      <c r="H107" s="35" t="s">
        <v>119</v>
      </c>
      <c r="I107" s="71"/>
      <c r="J107" s="35"/>
      <c r="K107" s="35"/>
      <c r="L107" s="34"/>
      <c r="M107" s="34"/>
      <c r="N107" s="35"/>
      <c r="O107" s="36"/>
      <c r="P107" s="37"/>
      <c r="Q107" s="38"/>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row>
    <row r="108" spans="2:68" ht="22.5" hidden="1" x14ac:dyDescent="0.15">
      <c r="B108" s="33"/>
      <c r="C108" s="34" t="s">
        <v>86</v>
      </c>
      <c r="D108" s="40" t="s">
        <v>147</v>
      </c>
      <c r="E108" s="40" t="s">
        <v>73</v>
      </c>
      <c r="F108" s="41" t="s">
        <v>72</v>
      </c>
      <c r="G108" s="41" t="s">
        <v>150</v>
      </c>
      <c r="H108" s="35" t="s">
        <v>120</v>
      </c>
      <c r="I108" s="71"/>
      <c r="J108" s="35"/>
      <c r="K108" s="35"/>
      <c r="L108" s="34"/>
      <c r="M108" s="34"/>
      <c r="N108" s="35"/>
      <c r="O108" s="36"/>
      <c r="P108" s="37"/>
      <c r="Q108" s="38"/>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row>
    <row r="109" spans="2:68" ht="22.5" hidden="1" x14ac:dyDescent="0.15">
      <c r="B109" s="33"/>
      <c r="C109" s="34">
        <v>10</v>
      </c>
      <c r="D109" s="40" t="s">
        <v>145</v>
      </c>
      <c r="E109" s="40" t="s">
        <v>140</v>
      </c>
      <c r="F109" s="41" t="s">
        <v>149</v>
      </c>
      <c r="G109" s="41" t="s">
        <v>159</v>
      </c>
      <c r="H109" s="41" t="s">
        <v>159</v>
      </c>
      <c r="I109" s="71"/>
      <c r="J109" s="35"/>
      <c r="K109" s="35"/>
      <c r="L109" s="34"/>
      <c r="M109" s="34"/>
      <c r="N109" s="35"/>
      <c r="O109" s="36"/>
      <c r="P109" s="37"/>
      <c r="Q109" s="38"/>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row>
    <row r="110" spans="2:68" ht="22.5" hidden="1" x14ac:dyDescent="0.15">
      <c r="B110" s="33"/>
      <c r="C110" s="34" t="s">
        <v>87</v>
      </c>
      <c r="D110" s="40" t="s">
        <v>145</v>
      </c>
      <c r="E110" s="40" t="s">
        <v>140</v>
      </c>
      <c r="F110" s="41" t="s">
        <v>149</v>
      </c>
      <c r="G110" s="41" t="s">
        <v>159</v>
      </c>
      <c r="H110" s="35" t="s">
        <v>120</v>
      </c>
      <c r="I110" s="71"/>
      <c r="J110" s="35"/>
      <c r="K110" s="35"/>
      <c r="L110" s="34"/>
      <c r="M110" s="34"/>
      <c r="N110" s="35"/>
      <c r="O110" s="36"/>
      <c r="P110" s="37"/>
      <c r="Q110" s="38"/>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row>
    <row r="111" spans="2:68" ht="22.5" hidden="1" x14ac:dyDescent="0.15">
      <c r="B111" s="33"/>
      <c r="C111" s="34" t="s">
        <v>129</v>
      </c>
      <c r="D111" s="40" t="s">
        <v>145</v>
      </c>
      <c r="E111" s="40" t="s">
        <v>140</v>
      </c>
      <c r="F111" s="41" t="s">
        <v>149</v>
      </c>
      <c r="G111" s="41" t="s">
        <v>159</v>
      </c>
      <c r="H111" s="35" t="s">
        <v>119</v>
      </c>
      <c r="I111" s="71"/>
      <c r="J111" s="35"/>
      <c r="K111" s="35"/>
      <c r="L111" s="34"/>
      <c r="M111" s="34"/>
      <c r="N111" s="35"/>
      <c r="O111" s="36"/>
      <c r="P111" s="37"/>
      <c r="Q111" s="38"/>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row>
    <row r="112" spans="2:68" ht="22.5" hidden="1" x14ac:dyDescent="0.15">
      <c r="B112" s="33"/>
      <c r="C112" s="34" t="s">
        <v>88</v>
      </c>
      <c r="D112" s="40" t="s">
        <v>145</v>
      </c>
      <c r="E112" s="40" t="s">
        <v>140</v>
      </c>
      <c r="F112" s="41" t="s">
        <v>149</v>
      </c>
      <c r="G112" s="41" t="s">
        <v>159</v>
      </c>
      <c r="H112" s="35" t="s">
        <v>120</v>
      </c>
      <c r="I112" s="71"/>
      <c r="J112" s="35"/>
      <c r="K112" s="35"/>
      <c r="L112" s="34"/>
      <c r="M112" s="34"/>
      <c r="N112" s="35"/>
      <c r="O112" s="36"/>
      <c r="P112" s="37"/>
      <c r="Q112" s="38"/>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row>
    <row r="113" spans="2:68" ht="22.5" hidden="1" x14ac:dyDescent="0.15">
      <c r="B113" s="33"/>
      <c r="C113" s="34">
        <v>11</v>
      </c>
      <c r="D113" s="40" t="s">
        <v>145</v>
      </c>
      <c r="E113" s="40" t="s">
        <v>78</v>
      </c>
      <c r="F113" s="41" t="s">
        <v>149</v>
      </c>
      <c r="G113" s="41" t="s">
        <v>151</v>
      </c>
      <c r="H113" s="41" t="s">
        <v>151</v>
      </c>
      <c r="I113" s="71"/>
      <c r="J113" s="35"/>
      <c r="K113" s="35"/>
      <c r="L113" s="34"/>
      <c r="M113" s="34"/>
      <c r="N113" s="35"/>
      <c r="O113" s="36"/>
      <c r="P113" s="37"/>
      <c r="Q113" s="38"/>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row>
    <row r="114" spans="2:68" ht="22.5" hidden="1" x14ac:dyDescent="0.15">
      <c r="B114" s="33"/>
      <c r="C114" s="34" t="s">
        <v>112</v>
      </c>
      <c r="D114" s="40" t="s">
        <v>145</v>
      </c>
      <c r="E114" s="40" t="s">
        <v>78</v>
      </c>
      <c r="F114" s="41" t="s">
        <v>149</v>
      </c>
      <c r="G114" s="41" t="s">
        <v>151</v>
      </c>
      <c r="H114" s="35" t="s">
        <v>120</v>
      </c>
      <c r="I114" s="71"/>
      <c r="J114" s="35"/>
      <c r="K114" s="35"/>
      <c r="L114" s="34"/>
      <c r="M114" s="34"/>
      <c r="N114" s="35"/>
      <c r="O114" s="36"/>
      <c r="P114" s="37"/>
      <c r="Q114" s="38"/>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row>
    <row r="115" spans="2:68" ht="22.5" hidden="1" x14ac:dyDescent="0.15">
      <c r="B115" s="33"/>
      <c r="C115" s="34" t="s">
        <v>130</v>
      </c>
      <c r="D115" s="40" t="s">
        <v>145</v>
      </c>
      <c r="E115" s="40" t="s">
        <v>78</v>
      </c>
      <c r="F115" s="41" t="s">
        <v>149</v>
      </c>
      <c r="G115" s="41" t="s">
        <v>151</v>
      </c>
      <c r="H115" s="35" t="s">
        <v>119</v>
      </c>
      <c r="I115" s="71"/>
      <c r="J115" s="35"/>
      <c r="K115" s="35"/>
      <c r="L115" s="34"/>
      <c r="M115" s="34"/>
      <c r="N115" s="35"/>
      <c r="O115" s="36"/>
      <c r="P115" s="37"/>
      <c r="Q115" s="38"/>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row>
    <row r="116" spans="2:68" ht="22.5" hidden="1" x14ac:dyDescent="0.15">
      <c r="B116" s="33"/>
      <c r="C116" s="34" t="s">
        <v>113</v>
      </c>
      <c r="D116" s="40" t="s">
        <v>145</v>
      </c>
      <c r="E116" s="40" t="s">
        <v>78</v>
      </c>
      <c r="F116" s="41" t="s">
        <v>149</v>
      </c>
      <c r="G116" s="41" t="s">
        <v>151</v>
      </c>
      <c r="H116" s="35" t="s">
        <v>120</v>
      </c>
      <c r="I116" s="71"/>
      <c r="J116" s="35"/>
      <c r="K116" s="35"/>
      <c r="L116" s="34"/>
      <c r="M116" s="34"/>
      <c r="N116" s="35"/>
      <c r="O116" s="36"/>
      <c r="P116" s="37"/>
      <c r="Q116" s="38"/>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row>
    <row r="117" spans="2:68" ht="22.5" hidden="1" x14ac:dyDescent="0.15">
      <c r="B117" s="33"/>
      <c r="C117" s="34">
        <v>12</v>
      </c>
      <c r="D117" s="40" t="s">
        <v>145</v>
      </c>
      <c r="E117" s="40" t="s">
        <v>142</v>
      </c>
      <c r="F117" s="41" t="s">
        <v>149</v>
      </c>
      <c r="G117" s="41" t="s">
        <v>160</v>
      </c>
      <c r="H117" s="41" t="s">
        <v>160</v>
      </c>
      <c r="I117" s="71"/>
      <c r="J117" s="35"/>
      <c r="K117" s="35"/>
      <c r="L117" s="34"/>
      <c r="M117" s="34"/>
      <c r="N117" s="35"/>
      <c r="O117" s="36"/>
      <c r="P117" s="37"/>
      <c r="Q117" s="38"/>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row>
    <row r="118" spans="2:68" ht="22.5" hidden="1" x14ac:dyDescent="0.15">
      <c r="B118" s="33"/>
      <c r="C118" s="34" t="s">
        <v>114</v>
      </c>
      <c r="D118" s="40" t="s">
        <v>145</v>
      </c>
      <c r="E118" s="40" t="s">
        <v>142</v>
      </c>
      <c r="F118" s="41" t="s">
        <v>149</v>
      </c>
      <c r="G118" s="41" t="s">
        <v>160</v>
      </c>
      <c r="H118" s="35" t="s">
        <v>120</v>
      </c>
      <c r="I118" s="71"/>
      <c r="J118" s="35"/>
      <c r="K118" s="35"/>
      <c r="L118" s="34"/>
      <c r="M118" s="34"/>
      <c r="N118" s="35"/>
      <c r="O118" s="36"/>
      <c r="P118" s="37"/>
      <c r="Q118" s="38"/>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row>
    <row r="119" spans="2:68" ht="22.5" hidden="1" x14ac:dyDescent="0.15">
      <c r="B119" s="33"/>
      <c r="C119" s="34" t="s">
        <v>131</v>
      </c>
      <c r="D119" s="40" t="s">
        <v>145</v>
      </c>
      <c r="E119" s="40" t="s">
        <v>142</v>
      </c>
      <c r="F119" s="41" t="s">
        <v>149</v>
      </c>
      <c r="G119" s="41" t="s">
        <v>160</v>
      </c>
      <c r="H119" s="35" t="s">
        <v>119</v>
      </c>
      <c r="I119" s="71"/>
      <c r="J119" s="35"/>
      <c r="K119" s="35"/>
      <c r="L119" s="34"/>
      <c r="M119" s="34"/>
      <c r="N119" s="35"/>
      <c r="O119" s="36"/>
      <c r="P119" s="37"/>
      <c r="Q119" s="38"/>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row>
    <row r="120" spans="2:68" ht="22.5" hidden="1" x14ac:dyDescent="0.15">
      <c r="B120" s="33"/>
      <c r="C120" s="34" t="s">
        <v>115</v>
      </c>
      <c r="D120" s="40" t="s">
        <v>145</v>
      </c>
      <c r="E120" s="40" t="s">
        <v>142</v>
      </c>
      <c r="F120" s="41" t="s">
        <v>149</v>
      </c>
      <c r="G120" s="41" t="s">
        <v>160</v>
      </c>
      <c r="H120" s="35" t="s">
        <v>120</v>
      </c>
      <c r="I120" s="71"/>
      <c r="J120" s="35"/>
      <c r="K120" s="35"/>
      <c r="L120" s="34"/>
      <c r="M120" s="34"/>
      <c r="N120" s="35"/>
      <c r="O120" s="36"/>
      <c r="P120" s="37"/>
      <c r="Q120" s="38"/>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row>
    <row r="121" spans="2:68" ht="22.5" hidden="1" x14ac:dyDescent="0.15">
      <c r="B121" s="33"/>
      <c r="C121" s="34">
        <v>13</v>
      </c>
      <c r="D121" s="40" t="s">
        <v>145</v>
      </c>
      <c r="E121" s="40" t="s">
        <v>142</v>
      </c>
      <c r="F121" s="41" t="s">
        <v>149</v>
      </c>
      <c r="G121" s="41" t="s">
        <v>161</v>
      </c>
      <c r="H121" s="41" t="s">
        <v>161</v>
      </c>
      <c r="I121" s="71"/>
      <c r="J121" s="35"/>
      <c r="K121" s="35"/>
      <c r="L121" s="34"/>
      <c r="M121" s="34"/>
      <c r="N121" s="35"/>
      <c r="O121" s="36"/>
      <c r="P121" s="37"/>
      <c r="Q121" s="38"/>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row>
    <row r="122" spans="2:68" ht="22.5" hidden="1" x14ac:dyDescent="0.15">
      <c r="B122" s="33"/>
      <c r="C122" s="34" t="s">
        <v>116</v>
      </c>
      <c r="D122" s="40" t="s">
        <v>145</v>
      </c>
      <c r="E122" s="40" t="s">
        <v>142</v>
      </c>
      <c r="F122" s="41" t="s">
        <v>149</v>
      </c>
      <c r="G122" s="41" t="s">
        <v>161</v>
      </c>
      <c r="H122" s="35" t="s">
        <v>120</v>
      </c>
      <c r="I122" s="71"/>
      <c r="J122" s="35"/>
      <c r="K122" s="35"/>
      <c r="L122" s="34"/>
      <c r="M122" s="34"/>
      <c r="N122" s="35"/>
      <c r="O122" s="36"/>
      <c r="P122" s="37"/>
      <c r="Q122" s="38"/>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row>
    <row r="123" spans="2:68" ht="22.5" hidden="1" x14ac:dyDescent="0.15">
      <c r="B123" s="33"/>
      <c r="C123" s="34" t="s">
        <v>132</v>
      </c>
      <c r="D123" s="40" t="s">
        <v>145</v>
      </c>
      <c r="E123" s="40" t="s">
        <v>142</v>
      </c>
      <c r="F123" s="41" t="s">
        <v>149</v>
      </c>
      <c r="G123" s="41" t="s">
        <v>161</v>
      </c>
      <c r="H123" s="35" t="s">
        <v>119</v>
      </c>
      <c r="I123" s="71"/>
      <c r="J123" s="35"/>
      <c r="K123" s="35"/>
      <c r="L123" s="34"/>
      <c r="M123" s="34"/>
      <c r="N123" s="35"/>
      <c r="O123" s="36"/>
      <c r="P123" s="37"/>
      <c r="Q123" s="38"/>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row>
    <row r="124" spans="2:68" ht="22.5" hidden="1" x14ac:dyDescent="0.15">
      <c r="B124" s="33"/>
      <c r="C124" s="34" t="s">
        <v>117</v>
      </c>
      <c r="D124" s="40" t="s">
        <v>145</v>
      </c>
      <c r="E124" s="40" t="s">
        <v>142</v>
      </c>
      <c r="F124" s="41" t="s">
        <v>149</v>
      </c>
      <c r="G124" s="41" t="s">
        <v>161</v>
      </c>
      <c r="H124" s="35" t="s">
        <v>120</v>
      </c>
      <c r="I124" s="71"/>
      <c r="J124" s="35"/>
      <c r="K124" s="35"/>
      <c r="L124" s="34"/>
      <c r="M124" s="34"/>
      <c r="N124" s="35"/>
      <c r="O124" s="36"/>
      <c r="P124" s="37"/>
      <c r="Q124" s="38"/>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row>
    <row r="125" spans="2:68" ht="105" x14ac:dyDescent="0.15">
      <c r="B125" s="33"/>
      <c r="C125" s="34">
        <v>14</v>
      </c>
      <c r="D125" s="40" t="s">
        <v>165</v>
      </c>
      <c r="E125" s="40" t="s">
        <v>73</v>
      </c>
      <c r="F125" s="41" t="s">
        <v>75</v>
      </c>
      <c r="G125" s="41" t="s">
        <v>166</v>
      </c>
      <c r="H125" s="41" t="s">
        <v>166</v>
      </c>
      <c r="I125" s="71" t="s">
        <v>470</v>
      </c>
      <c r="J125" s="35" t="s">
        <v>170</v>
      </c>
      <c r="K125" s="35"/>
      <c r="L125" s="34"/>
      <c r="M125" s="34"/>
      <c r="N125" s="35"/>
      <c r="O125" s="36"/>
      <c r="P125" s="37"/>
      <c r="Q125" s="38"/>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row>
    <row r="126" spans="2:68" s="52" customFormat="1" ht="23.25" customHeight="1" x14ac:dyDescent="0.15">
      <c r="B126" s="44"/>
      <c r="C126" s="53" t="s">
        <v>167</v>
      </c>
      <c r="D126" s="46" t="s">
        <v>165</v>
      </c>
      <c r="E126" s="46" t="s">
        <v>73</v>
      </c>
      <c r="F126" s="43" t="s">
        <v>75</v>
      </c>
      <c r="G126" s="43" t="s">
        <v>166</v>
      </c>
      <c r="H126" s="47" t="s">
        <v>263</v>
      </c>
      <c r="I126" s="72"/>
      <c r="J126" s="47" t="s">
        <v>170</v>
      </c>
      <c r="K126" s="47"/>
      <c r="L126" s="45"/>
      <c r="M126" s="45"/>
      <c r="N126" s="47"/>
      <c r="O126" s="48"/>
      <c r="P126" s="49"/>
      <c r="Q126" s="50"/>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row>
    <row r="127" spans="2:68" ht="33.75" x14ac:dyDescent="0.15">
      <c r="B127" s="33"/>
      <c r="C127" s="42" t="s">
        <v>168</v>
      </c>
      <c r="D127" s="40" t="s">
        <v>165</v>
      </c>
      <c r="E127" s="40" t="s">
        <v>73</v>
      </c>
      <c r="F127" s="41" t="s">
        <v>75</v>
      </c>
      <c r="G127" s="41" t="s">
        <v>166</v>
      </c>
      <c r="H127" s="35" t="s">
        <v>474</v>
      </c>
      <c r="I127" s="71"/>
      <c r="J127" s="56" t="s">
        <v>170</v>
      </c>
      <c r="K127" s="35" t="s">
        <v>479</v>
      </c>
      <c r="L127" s="34" t="s">
        <v>503</v>
      </c>
      <c r="M127" s="34" t="s">
        <v>513</v>
      </c>
      <c r="N127" s="35"/>
      <c r="O127" s="36"/>
      <c r="P127" s="64">
        <v>1</v>
      </c>
      <c r="Q127" s="38">
        <v>2</v>
      </c>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row>
    <row r="128" spans="2:68" ht="23.25" customHeight="1" x14ac:dyDescent="0.15">
      <c r="B128" s="33"/>
      <c r="C128" s="42" t="s">
        <v>282</v>
      </c>
      <c r="D128" s="40" t="s">
        <v>165</v>
      </c>
      <c r="E128" s="40" t="s">
        <v>73</v>
      </c>
      <c r="F128" s="41" t="s">
        <v>75</v>
      </c>
      <c r="G128" s="41" t="s">
        <v>166</v>
      </c>
      <c r="H128" s="35" t="s">
        <v>264</v>
      </c>
      <c r="I128" s="71"/>
      <c r="J128" s="56" t="s">
        <v>170</v>
      </c>
      <c r="K128" s="35" t="s">
        <v>480</v>
      </c>
      <c r="L128" s="34" t="s">
        <v>503</v>
      </c>
      <c r="M128" s="34" t="s">
        <v>513</v>
      </c>
      <c r="N128" s="35"/>
      <c r="O128" s="36"/>
      <c r="P128" s="64">
        <v>1</v>
      </c>
      <c r="Q128" s="38">
        <v>2</v>
      </c>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row>
    <row r="129" spans="2:68" ht="23.25" customHeight="1" x14ac:dyDescent="0.15">
      <c r="B129" s="33"/>
      <c r="C129" s="42" t="s">
        <v>283</v>
      </c>
      <c r="D129" s="40" t="s">
        <v>165</v>
      </c>
      <c r="E129" s="40" t="s">
        <v>73</v>
      </c>
      <c r="F129" s="41" t="s">
        <v>75</v>
      </c>
      <c r="G129" s="41" t="s">
        <v>166</v>
      </c>
      <c r="H129" s="35" t="s">
        <v>547</v>
      </c>
      <c r="I129" s="71"/>
      <c r="J129" s="56" t="s">
        <v>170</v>
      </c>
      <c r="K129" s="35" t="s">
        <v>481</v>
      </c>
      <c r="L129" s="34" t="s">
        <v>503</v>
      </c>
      <c r="M129" s="34" t="s">
        <v>513</v>
      </c>
      <c r="N129" s="35"/>
      <c r="O129" s="36"/>
      <c r="P129" s="64">
        <v>1</v>
      </c>
      <c r="Q129" s="38">
        <v>2</v>
      </c>
      <c r="R129" s="39">
        <v>4</v>
      </c>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row>
    <row r="130" spans="2:68" ht="23.25" customHeight="1" x14ac:dyDescent="0.15">
      <c r="B130" s="33"/>
      <c r="C130" s="42" t="s">
        <v>284</v>
      </c>
      <c r="D130" s="40" t="s">
        <v>165</v>
      </c>
      <c r="E130" s="40" t="s">
        <v>73</v>
      </c>
      <c r="F130" s="41" t="s">
        <v>75</v>
      </c>
      <c r="G130" s="41" t="s">
        <v>166</v>
      </c>
      <c r="H130" s="35" t="s">
        <v>357</v>
      </c>
      <c r="I130" s="71"/>
      <c r="J130" s="56" t="s">
        <v>170</v>
      </c>
      <c r="K130" s="35" t="s">
        <v>482</v>
      </c>
      <c r="L130" s="34" t="s">
        <v>503</v>
      </c>
      <c r="M130" s="34" t="s">
        <v>514</v>
      </c>
      <c r="N130" s="35"/>
      <c r="O130" s="36"/>
      <c r="P130" s="64">
        <v>1</v>
      </c>
      <c r="Q130" s="38">
        <v>2</v>
      </c>
      <c r="R130" s="39">
        <v>4</v>
      </c>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row>
    <row r="131" spans="2:68" ht="22.5" x14ac:dyDescent="0.15">
      <c r="B131" s="33"/>
      <c r="C131" s="42" t="s">
        <v>285</v>
      </c>
      <c r="D131" s="40" t="s">
        <v>165</v>
      </c>
      <c r="E131" s="40" t="s">
        <v>73</v>
      </c>
      <c r="F131" s="41" t="s">
        <v>75</v>
      </c>
      <c r="G131" s="41" t="s">
        <v>166</v>
      </c>
      <c r="H131" s="35" t="s">
        <v>265</v>
      </c>
      <c r="I131" s="71"/>
      <c r="J131" s="56" t="s">
        <v>170</v>
      </c>
      <c r="K131" s="35" t="s">
        <v>483</v>
      </c>
      <c r="L131" s="34" t="s">
        <v>503</v>
      </c>
      <c r="M131" s="34" t="s">
        <v>517</v>
      </c>
      <c r="N131" s="35"/>
      <c r="O131" s="36"/>
      <c r="P131" s="64">
        <v>1</v>
      </c>
      <c r="Q131" s="38">
        <v>2</v>
      </c>
      <c r="R131" s="39">
        <v>4</v>
      </c>
      <c r="S131" s="39">
        <v>4</v>
      </c>
      <c r="T131" s="39">
        <v>4</v>
      </c>
      <c r="U131" s="39">
        <v>4</v>
      </c>
      <c r="V131" s="39">
        <v>4</v>
      </c>
      <c r="W131" s="39">
        <v>4</v>
      </c>
      <c r="X131" s="39">
        <v>4</v>
      </c>
      <c r="Y131" s="39">
        <v>4</v>
      </c>
      <c r="Z131" s="39">
        <v>4</v>
      </c>
      <c r="AA131" s="39">
        <v>4</v>
      </c>
      <c r="AB131" s="39">
        <v>4</v>
      </c>
      <c r="AC131" s="39">
        <v>4</v>
      </c>
      <c r="AD131" s="39">
        <v>4</v>
      </c>
      <c r="AE131" s="39">
        <v>4</v>
      </c>
      <c r="AF131" s="39">
        <v>4</v>
      </c>
      <c r="AG131" s="39">
        <v>4</v>
      </c>
      <c r="AH131" s="39">
        <v>4</v>
      </c>
      <c r="AI131" s="39">
        <v>4</v>
      </c>
      <c r="AJ131" s="39">
        <v>4</v>
      </c>
      <c r="AK131" s="39">
        <v>4</v>
      </c>
      <c r="AL131" s="39">
        <v>4</v>
      </c>
      <c r="AM131" s="39">
        <v>4</v>
      </c>
      <c r="AN131" s="39">
        <v>4</v>
      </c>
      <c r="AO131" s="39">
        <v>4</v>
      </c>
      <c r="AP131" s="39">
        <v>4</v>
      </c>
      <c r="AQ131" s="39">
        <v>4</v>
      </c>
      <c r="AR131" s="39">
        <v>4</v>
      </c>
      <c r="AS131" s="39">
        <v>4</v>
      </c>
      <c r="AT131" s="39">
        <v>4</v>
      </c>
      <c r="AU131" s="39">
        <v>4</v>
      </c>
      <c r="AV131" s="39">
        <v>4</v>
      </c>
      <c r="AW131" s="39">
        <v>4</v>
      </c>
      <c r="AX131" s="39">
        <v>4</v>
      </c>
      <c r="AY131" s="39">
        <v>4</v>
      </c>
      <c r="AZ131" s="39">
        <v>4</v>
      </c>
      <c r="BA131" s="39">
        <v>4</v>
      </c>
      <c r="BB131" s="39">
        <v>4</v>
      </c>
      <c r="BC131" s="39">
        <v>4</v>
      </c>
      <c r="BD131" s="39">
        <v>4</v>
      </c>
      <c r="BE131" s="39">
        <v>4</v>
      </c>
      <c r="BF131" s="39">
        <v>4</v>
      </c>
      <c r="BG131" s="39">
        <v>4</v>
      </c>
      <c r="BH131" s="39">
        <v>4</v>
      </c>
      <c r="BI131" s="39">
        <v>4</v>
      </c>
      <c r="BJ131" s="39">
        <v>4</v>
      </c>
      <c r="BK131" s="39">
        <v>4</v>
      </c>
      <c r="BL131" s="39">
        <v>4</v>
      </c>
      <c r="BM131" s="39">
        <v>4</v>
      </c>
      <c r="BN131" s="39">
        <v>4</v>
      </c>
      <c r="BO131" s="39">
        <v>4</v>
      </c>
      <c r="BP131" s="39">
        <v>4</v>
      </c>
    </row>
    <row r="132" spans="2:68" ht="33.75" x14ac:dyDescent="0.15">
      <c r="B132" s="33"/>
      <c r="C132" s="42" t="s">
        <v>458</v>
      </c>
      <c r="D132" s="40" t="s">
        <v>165</v>
      </c>
      <c r="E132" s="40" t="s">
        <v>73</v>
      </c>
      <c r="F132" s="41" t="s">
        <v>75</v>
      </c>
      <c r="G132" s="41" t="s">
        <v>166</v>
      </c>
      <c r="H132" s="35" t="s">
        <v>266</v>
      </c>
      <c r="I132" s="71"/>
      <c r="J132" s="56" t="s">
        <v>170</v>
      </c>
      <c r="K132" s="35" t="s">
        <v>484</v>
      </c>
      <c r="L132" s="34" t="s">
        <v>503</v>
      </c>
      <c r="M132" s="34" t="s">
        <v>517</v>
      </c>
      <c r="N132" s="35"/>
      <c r="O132" s="36"/>
      <c r="P132" s="64">
        <v>1</v>
      </c>
      <c r="Q132" s="38">
        <v>2</v>
      </c>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row>
    <row r="133" spans="2:68" s="52" customFormat="1" ht="22.5" x14ac:dyDescent="0.15">
      <c r="B133" s="44"/>
      <c r="C133" s="53" t="s">
        <v>169</v>
      </c>
      <c r="D133" s="46" t="s">
        <v>165</v>
      </c>
      <c r="E133" s="46" t="s">
        <v>73</v>
      </c>
      <c r="F133" s="43" t="s">
        <v>75</v>
      </c>
      <c r="G133" s="43" t="s">
        <v>166</v>
      </c>
      <c r="H133" s="47" t="s">
        <v>267</v>
      </c>
      <c r="I133" s="72"/>
      <c r="J133" s="47" t="s">
        <v>170</v>
      </c>
      <c r="K133" s="47"/>
      <c r="L133" s="45"/>
      <c r="M133" s="45"/>
      <c r="N133" s="47"/>
      <c r="O133" s="48"/>
      <c r="P133" s="49"/>
      <c r="Q133" s="50"/>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row>
    <row r="134" spans="2:68" ht="33.75" x14ac:dyDescent="0.15">
      <c r="B134" s="33"/>
      <c r="C134" s="42" t="s">
        <v>286</v>
      </c>
      <c r="D134" s="40" t="s">
        <v>165</v>
      </c>
      <c r="E134" s="40" t="s">
        <v>73</v>
      </c>
      <c r="F134" s="41" t="s">
        <v>75</v>
      </c>
      <c r="G134" s="41" t="s">
        <v>166</v>
      </c>
      <c r="H134" s="35" t="s">
        <v>268</v>
      </c>
      <c r="I134" s="71"/>
      <c r="J134" s="56" t="s">
        <v>170</v>
      </c>
      <c r="K134" s="35" t="s">
        <v>485</v>
      </c>
      <c r="L134" s="34" t="s">
        <v>517</v>
      </c>
      <c r="M134" s="34" t="s">
        <v>503</v>
      </c>
      <c r="N134" s="35"/>
      <c r="O134" s="36"/>
      <c r="P134" s="64">
        <v>1</v>
      </c>
      <c r="Q134" s="38">
        <v>2</v>
      </c>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row>
    <row r="135" spans="2:68" ht="25.5" customHeight="1" x14ac:dyDescent="0.15">
      <c r="B135" s="33"/>
      <c r="C135" s="42" t="s">
        <v>287</v>
      </c>
      <c r="D135" s="40" t="s">
        <v>165</v>
      </c>
      <c r="E135" s="40" t="s">
        <v>73</v>
      </c>
      <c r="F135" s="41" t="s">
        <v>75</v>
      </c>
      <c r="G135" s="41" t="s">
        <v>166</v>
      </c>
      <c r="H135" s="35" t="s">
        <v>269</v>
      </c>
      <c r="I135" s="71"/>
      <c r="J135" s="56" t="s">
        <v>170</v>
      </c>
      <c r="K135" s="35" t="s">
        <v>486</v>
      </c>
      <c r="L135" s="34" t="s">
        <v>517</v>
      </c>
      <c r="M135" s="34" t="s">
        <v>544</v>
      </c>
      <c r="N135" s="35"/>
      <c r="O135" s="36"/>
      <c r="P135" s="39">
        <v>4</v>
      </c>
      <c r="Q135" s="38"/>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v>4</v>
      </c>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row>
    <row r="136" spans="2:68" ht="23.25" customHeight="1" x14ac:dyDescent="0.15">
      <c r="B136" s="33"/>
      <c r="C136" s="42" t="s">
        <v>288</v>
      </c>
      <c r="D136" s="40" t="s">
        <v>165</v>
      </c>
      <c r="E136" s="40" t="s">
        <v>73</v>
      </c>
      <c r="F136" s="41" t="s">
        <v>75</v>
      </c>
      <c r="G136" s="41" t="s">
        <v>166</v>
      </c>
      <c r="H136" s="35" t="s">
        <v>548</v>
      </c>
      <c r="I136" s="71"/>
      <c r="J136" s="56" t="s">
        <v>170</v>
      </c>
      <c r="K136" s="35" t="s">
        <v>487</v>
      </c>
      <c r="L136" s="34" t="s">
        <v>503</v>
      </c>
      <c r="M136" s="34" t="s">
        <v>542</v>
      </c>
      <c r="N136" s="35"/>
      <c r="O136" s="36"/>
      <c r="P136" s="38">
        <v>5</v>
      </c>
      <c r="Q136" s="38">
        <v>5</v>
      </c>
      <c r="R136" s="38">
        <v>5</v>
      </c>
      <c r="S136" s="38">
        <v>5</v>
      </c>
      <c r="T136" s="38">
        <v>5</v>
      </c>
      <c r="U136" s="38">
        <v>5</v>
      </c>
      <c r="V136" s="38">
        <v>5</v>
      </c>
      <c r="W136" s="38">
        <v>5</v>
      </c>
      <c r="X136" s="38">
        <v>5</v>
      </c>
      <c r="Y136" s="38">
        <v>5</v>
      </c>
      <c r="Z136" s="38">
        <v>5</v>
      </c>
      <c r="AA136" s="38">
        <v>5</v>
      </c>
      <c r="AB136" s="38">
        <v>5</v>
      </c>
      <c r="AC136" s="38">
        <v>5</v>
      </c>
      <c r="AD136" s="38">
        <v>5</v>
      </c>
      <c r="AE136" s="38">
        <v>5</v>
      </c>
      <c r="AF136" s="38">
        <v>5</v>
      </c>
      <c r="AG136" s="38">
        <v>5</v>
      </c>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row>
    <row r="137" spans="2:68" ht="22.5" x14ac:dyDescent="0.15">
      <c r="B137" s="33"/>
      <c r="C137" s="42" t="s">
        <v>289</v>
      </c>
      <c r="D137" s="40" t="s">
        <v>165</v>
      </c>
      <c r="E137" s="40" t="s">
        <v>73</v>
      </c>
      <c r="F137" s="41" t="s">
        <v>75</v>
      </c>
      <c r="G137" s="41" t="s">
        <v>166</v>
      </c>
      <c r="H137" s="35" t="s">
        <v>270</v>
      </c>
      <c r="I137" s="71"/>
      <c r="J137" s="56" t="s">
        <v>170</v>
      </c>
      <c r="K137" s="35" t="s">
        <v>335</v>
      </c>
      <c r="L137" s="34" t="s">
        <v>517</v>
      </c>
      <c r="M137" s="34" t="s">
        <v>549</v>
      </c>
      <c r="N137" s="35"/>
      <c r="O137" s="36"/>
      <c r="P137" s="38">
        <v>5</v>
      </c>
      <c r="Q137" s="38"/>
      <c r="R137" s="39"/>
      <c r="S137" s="39"/>
      <c r="T137" s="39"/>
      <c r="U137" s="38">
        <v>5</v>
      </c>
      <c r="V137" s="39"/>
      <c r="W137" s="39"/>
      <c r="X137" s="39"/>
      <c r="Y137" s="39"/>
      <c r="Z137" s="39">
        <v>5</v>
      </c>
      <c r="AA137" s="39"/>
      <c r="AB137" s="39"/>
      <c r="AC137" s="39"/>
      <c r="AD137" s="39">
        <v>5</v>
      </c>
      <c r="AE137" s="39"/>
      <c r="AF137" s="39"/>
      <c r="AG137" s="39"/>
      <c r="AH137" s="39">
        <v>5</v>
      </c>
      <c r="AI137" s="39"/>
      <c r="AJ137" s="39"/>
      <c r="AK137" s="39"/>
      <c r="AL137" s="39"/>
      <c r="AM137" s="39">
        <v>5</v>
      </c>
      <c r="AN137" s="39"/>
      <c r="AO137" s="39"/>
      <c r="AP137" s="39"/>
      <c r="AQ137" s="39">
        <v>5</v>
      </c>
      <c r="AR137" s="39"/>
      <c r="AS137" s="39"/>
      <c r="AT137" s="39"/>
      <c r="AU137" s="39">
        <v>5</v>
      </c>
      <c r="AV137" s="39"/>
      <c r="AW137" s="39"/>
      <c r="AX137" s="39"/>
      <c r="AY137" s="39"/>
      <c r="AZ137" s="39">
        <v>5</v>
      </c>
      <c r="BA137" s="39"/>
      <c r="BB137" s="39"/>
      <c r="BC137" s="39"/>
      <c r="BD137" s="39">
        <v>5</v>
      </c>
      <c r="BE137" s="39"/>
      <c r="BF137" s="39"/>
      <c r="BG137" s="39"/>
      <c r="BH137" s="39">
        <v>5</v>
      </c>
      <c r="BI137" s="39"/>
      <c r="BJ137" s="39"/>
      <c r="BK137" s="39"/>
      <c r="BL137" s="39"/>
      <c r="BM137" s="39">
        <v>5</v>
      </c>
      <c r="BN137" s="39"/>
      <c r="BO137" s="39"/>
      <c r="BP137" s="39"/>
    </row>
    <row r="138" spans="2:68" s="52" customFormat="1" ht="23.25" customHeight="1" x14ac:dyDescent="0.15">
      <c r="B138" s="44"/>
      <c r="C138" s="53" t="s">
        <v>290</v>
      </c>
      <c r="D138" s="46" t="s">
        <v>165</v>
      </c>
      <c r="E138" s="46" t="s">
        <v>73</v>
      </c>
      <c r="F138" s="43" t="s">
        <v>75</v>
      </c>
      <c r="G138" s="43" t="s">
        <v>166</v>
      </c>
      <c r="H138" s="47" t="s">
        <v>271</v>
      </c>
      <c r="I138" s="72"/>
      <c r="J138" s="47" t="s">
        <v>170</v>
      </c>
      <c r="K138" s="47"/>
      <c r="L138" s="45"/>
      <c r="M138" s="45"/>
      <c r="N138" s="47"/>
      <c r="O138" s="48"/>
      <c r="P138" s="49"/>
      <c r="Q138" s="50"/>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row>
    <row r="139" spans="2:68" ht="23.25" customHeight="1" x14ac:dyDescent="0.15">
      <c r="B139" s="33"/>
      <c r="C139" s="42" t="s">
        <v>291</v>
      </c>
      <c r="D139" s="40" t="s">
        <v>165</v>
      </c>
      <c r="E139" s="40" t="s">
        <v>73</v>
      </c>
      <c r="F139" s="41" t="s">
        <v>75</v>
      </c>
      <c r="G139" s="41" t="s">
        <v>166</v>
      </c>
      <c r="H139" s="35" t="s">
        <v>272</v>
      </c>
      <c r="I139" s="71"/>
      <c r="J139" s="56" t="s">
        <v>170</v>
      </c>
      <c r="K139" s="35" t="s">
        <v>488</v>
      </c>
      <c r="L139" s="34" t="s">
        <v>517</v>
      </c>
      <c r="M139" s="34" t="s">
        <v>516</v>
      </c>
      <c r="N139" s="35"/>
      <c r="O139" s="36"/>
      <c r="P139" s="64">
        <v>1</v>
      </c>
      <c r="Q139" s="38">
        <v>2</v>
      </c>
      <c r="R139" s="39">
        <v>3</v>
      </c>
      <c r="S139" s="39"/>
      <c r="T139" s="39">
        <v>3</v>
      </c>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row>
    <row r="140" spans="2:68" ht="23.25" customHeight="1" x14ac:dyDescent="0.15">
      <c r="B140" s="33"/>
      <c r="C140" s="42" t="s">
        <v>292</v>
      </c>
      <c r="D140" s="40" t="s">
        <v>165</v>
      </c>
      <c r="E140" s="40" t="s">
        <v>73</v>
      </c>
      <c r="F140" s="41" t="s">
        <v>75</v>
      </c>
      <c r="G140" s="41" t="s">
        <v>166</v>
      </c>
      <c r="H140" s="35" t="s">
        <v>273</v>
      </c>
      <c r="I140" s="71"/>
      <c r="J140" s="56" t="s">
        <v>170</v>
      </c>
      <c r="K140" s="35" t="s">
        <v>242</v>
      </c>
      <c r="L140" s="34" t="s">
        <v>511</v>
      </c>
      <c r="M140" s="34" t="s">
        <v>511</v>
      </c>
      <c r="N140" s="35"/>
      <c r="O140" s="36"/>
      <c r="P140" s="37"/>
      <c r="Q140" s="38"/>
      <c r="R140" s="39"/>
      <c r="S140" s="39"/>
      <c r="T140" s="39"/>
      <c r="U140" s="39"/>
      <c r="V140" s="39"/>
      <c r="W140" s="39"/>
      <c r="X140" s="39">
        <v>4</v>
      </c>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row>
    <row r="141" spans="2:68" ht="23.25" customHeight="1" x14ac:dyDescent="0.15">
      <c r="B141" s="33"/>
      <c r="C141" s="42" t="s">
        <v>293</v>
      </c>
      <c r="D141" s="40" t="s">
        <v>165</v>
      </c>
      <c r="E141" s="40" t="s">
        <v>73</v>
      </c>
      <c r="F141" s="41" t="s">
        <v>75</v>
      </c>
      <c r="G141" s="41" t="s">
        <v>166</v>
      </c>
      <c r="H141" s="35" t="s">
        <v>274</v>
      </c>
      <c r="I141" s="71"/>
      <c r="J141" s="56" t="s">
        <v>170</v>
      </c>
      <c r="K141" s="35" t="s">
        <v>484</v>
      </c>
      <c r="L141" s="34" t="s">
        <v>530</v>
      </c>
      <c r="M141" s="34" t="s">
        <v>517</v>
      </c>
      <c r="N141" s="35"/>
      <c r="O141" s="36"/>
      <c r="P141" s="37"/>
      <c r="Q141" s="38"/>
      <c r="R141" s="39"/>
      <c r="S141" s="39"/>
      <c r="T141" s="39"/>
      <c r="U141" s="39"/>
      <c r="V141" s="39"/>
      <c r="W141" s="39"/>
      <c r="X141" s="39"/>
      <c r="Y141" s="39">
        <v>4</v>
      </c>
      <c r="Z141" s="39">
        <v>4</v>
      </c>
      <c r="AA141" s="39">
        <v>4</v>
      </c>
      <c r="AB141" s="39">
        <v>4</v>
      </c>
      <c r="AC141" s="39">
        <v>4</v>
      </c>
      <c r="AD141" s="39">
        <v>4</v>
      </c>
      <c r="AE141" s="39">
        <v>4</v>
      </c>
      <c r="AF141" s="39">
        <v>4</v>
      </c>
      <c r="AG141" s="39">
        <v>4</v>
      </c>
      <c r="AH141" s="39">
        <v>4</v>
      </c>
      <c r="AI141" s="39">
        <v>4</v>
      </c>
      <c r="AJ141" s="39">
        <v>4</v>
      </c>
      <c r="AK141" s="39">
        <v>4</v>
      </c>
      <c r="AL141" s="39">
        <v>4</v>
      </c>
      <c r="AM141" s="39">
        <v>4</v>
      </c>
      <c r="AN141" s="39">
        <v>4</v>
      </c>
      <c r="AO141" s="39">
        <v>4</v>
      </c>
      <c r="AP141" s="39">
        <v>4</v>
      </c>
      <c r="AQ141" s="39">
        <v>4</v>
      </c>
      <c r="AR141" s="39">
        <v>4</v>
      </c>
      <c r="AS141" s="39">
        <v>4</v>
      </c>
      <c r="AT141" s="39">
        <v>4</v>
      </c>
      <c r="AU141" s="39">
        <v>4</v>
      </c>
      <c r="AV141" s="39">
        <v>4</v>
      </c>
      <c r="AW141" s="39">
        <v>4</v>
      </c>
      <c r="AX141" s="39">
        <v>4</v>
      </c>
      <c r="AY141" s="39">
        <v>4</v>
      </c>
      <c r="AZ141" s="39">
        <v>4</v>
      </c>
      <c r="BA141" s="39">
        <v>4</v>
      </c>
      <c r="BB141" s="39">
        <v>4</v>
      </c>
      <c r="BC141" s="39">
        <v>4</v>
      </c>
      <c r="BD141" s="39">
        <v>4</v>
      </c>
      <c r="BE141" s="39">
        <v>4</v>
      </c>
      <c r="BF141" s="39">
        <v>4</v>
      </c>
      <c r="BG141" s="39">
        <v>4</v>
      </c>
      <c r="BH141" s="39">
        <v>4</v>
      </c>
      <c r="BI141" s="39">
        <v>4</v>
      </c>
      <c r="BJ141" s="39">
        <v>4</v>
      </c>
      <c r="BK141" s="39">
        <v>4</v>
      </c>
      <c r="BL141" s="39">
        <v>4</v>
      </c>
      <c r="BM141" s="39">
        <v>4</v>
      </c>
      <c r="BN141" s="39">
        <v>4</v>
      </c>
      <c r="BO141" s="39">
        <v>4</v>
      </c>
      <c r="BP141" s="39">
        <v>4</v>
      </c>
    </row>
    <row r="142" spans="2:68" ht="23.25" customHeight="1" x14ac:dyDescent="0.15">
      <c r="B142" s="33"/>
      <c r="C142" s="42" t="s">
        <v>294</v>
      </c>
      <c r="D142" s="40" t="s">
        <v>165</v>
      </c>
      <c r="E142" s="40" t="s">
        <v>73</v>
      </c>
      <c r="F142" s="41" t="s">
        <v>75</v>
      </c>
      <c r="G142" s="41" t="s">
        <v>166</v>
      </c>
      <c r="H142" s="35" t="s">
        <v>275</v>
      </c>
      <c r="I142" s="71"/>
      <c r="J142" s="56" t="s">
        <v>170</v>
      </c>
      <c r="K142" s="35" t="s">
        <v>489</v>
      </c>
      <c r="L142" s="34" t="s">
        <v>530</v>
      </c>
      <c r="M142" s="34" t="s">
        <v>517</v>
      </c>
      <c r="N142" s="35"/>
      <c r="O142" s="36"/>
      <c r="P142" s="37"/>
      <c r="Q142" s="38"/>
      <c r="R142" s="39"/>
      <c r="S142" s="39"/>
      <c r="T142" s="39"/>
      <c r="U142" s="39"/>
      <c r="V142" s="39"/>
      <c r="W142" s="39"/>
      <c r="X142" s="39"/>
      <c r="Y142" s="39">
        <v>5</v>
      </c>
      <c r="Z142" s="39">
        <v>5</v>
      </c>
      <c r="AA142" s="39">
        <v>5</v>
      </c>
      <c r="AB142" s="39">
        <v>5</v>
      </c>
      <c r="AC142" s="39">
        <v>5</v>
      </c>
      <c r="AD142" s="39">
        <v>5</v>
      </c>
      <c r="AE142" s="39">
        <v>5</v>
      </c>
      <c r="AF142" s="39">
        <v>5</v>
      </c>
      <c r="AG142" s="39">
        <v>5</v>
      </c>
      <c r="AH142" s="39">
        <v>5</v>
      </c>
      <c r="AI142" s="39">
        <v>5</v>
      </c>
      <c r="AJ142" s="39">
        <v>5</v>
      </c>
      <c r="AK142" s="39">
        <v>5</v>
      </c>
      <c r="AL142" s="39">
        <v>5</v>
      </c>
      <c r="AM142" s="39">
        <v>5</v>
      </c>
      <c r="AN142" s="39">
        <v>5</v>
      </c>
      <c r="AO142" s="39">
        <v>5</v>
      </c>
      <c r="AP142" s="39">
        <v>5</v>
      </c>
      <c r="AQ142" s="39">
        <v>5</v>
      </c>
      <c r="AR142" s="39">
        <v>5</v>
      </c>
      <c r="AS142" s="39">
        <v>5</v>
      </c>
      <c r="AT142" s="39">
        <v>5</v>
      </c>
      <c r="AU142" s="39">
        <v>5</v>
      </c>
      <c r="AV142" s="39">
        <v>5</v>
      </c>
      <c r="AW142" s="39">
        <v>5</v>
      </c>
      <c r="AX142" s="39">
        <v>5</v>
      </c>
      <c r="AY142" s="39">
        <v>5</v>
      </c>
      <c r="AZ142" s="39">
        <v>5</v>
      </c>
      <c r="BA142" s="39">
        <v>5</v>
      </c>
      <c r="BB142" s="39">
        <v>5</v>
      </c>
      <c r="BC142" s="39">
        <v>5</v>
      </c>
      <c r="BD142" s="39">
        <v>5</v>
      </c>
      <c r="BE142" s="39">
        <v>5</v>
      </c>
      <c r="BF142" s="39">
        <v>5</v>
      </c>
      <c r="BG142" s="39">
        <v>5</v>
      </c>
      <c r="BH142" s="39">
        <v>5</v>
      </c>
      <c r="BI142" s="39">
        <v>5</v>
      </c>
      <c r="BJ142" s="39">
        <v>5</v>
      </c>
      <c r="BK142" s="39">
        <v>5</v>
      </c>
      <c r="BL142" s="39">
        <v>5</v>
      </c>
      <c r="BM142" s="39">
        <v>5</v>
      </c>
      <c r="BN142" s="39">
        <v>5</v>
      </c>
      <c r="BO142" s="39">
        <v>5</v>
      </c>
      <c r="BP142" s="39">
        <v>5</v>
      </c>
    </row>
    <row r="143" spans="2:68" s="52" customFormat="1" ht="23.25" customHeight="1" x14ac:dyDescent="0.15">
      <c r="B143" s="44"/>
      <c r="C143" s="53" t="s">
        <v>295</v>
      </c>
      <c r="D143" s="46" t="s">
        <v>165</v>
      </c>
      <c r="E143" s="46" t="s">
        <v>73</v>
      </c>
      <c r="F143" s="43" t="s">
        <v>75</v>
      </c>
      <c r="G143" s="43" t="s">
        <v>166</v>
      </c>
      <c r="H143" s="47" t="s">
        <v>276</v>
      </c>
      <c r="I143" s="72"/>
      <c r="J143" s="47" t="s">
        <v>170</v>
      </c>
      <c r="K143" s="47"/>
      <c r="L143" s="45"/>
      <c r="M143" s="45"/>
      <c r="N143" s="47"/>
      <c r="O143" s="48"/>
      <c r="P143" s="49"/>
      <c r="Q143" s="50"/>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row>
    <row r="144" spans="2:68" s="52" customFormat="1" ht="22.5" x14ac:dyDescent="0.15">
      <c r="B144" s="44"/>
      <c r="C144" s="55" t="s">
        <v>296</v>
      </c>
      <c r="D144" s="40" t="s">
        <v>165</v>
      </c>
      <c r="E144" s="40" t="s">
        <v>73</v>
      </c>
      <c r="F144" s="41" t="s">
        <v>75</v>
      </c>
      <c r="G144" s="41" t="s">
        <v>166</v>
      </c>
      <c r="H144" s="56" t="s">
        <v>277</v>
      </c>
      <c r="I144" s="72"/>
      <c r="J144" s="56" t="s">
        <v>170</v>
      </c>
      <c r="K144" s="56" t="s">
        <v>490</v>
      </c>
      <c r="L144" s="34" t="s">
        <v>513</v>
      </c>
      <c r="M144" s="34" t="s">
        <v>514</v>
      </c>
      <c r="N144" s="47"/>
      <c r="O144" s="48"/>
      <c r="P144" s="49"/>
      <c r="Q144" s="50">
        <v>1</v>
      </c>
      <c r="R144" s="51">
        <v>2</v>
      </c>
      <c r="S144" s="51"/>
      <c r="T144" s="51">
        <v>3</v>
      </c>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row>
    <row r="145" spans="2:68" ht="22.5" x14ac:dyDescent="0.15">
      <c r="B145" s="33"/>
      <c r="C145" s="55" t="s">
        <v>297</v>
      </c>
      <c r="D145" s="40" t="s">
        <v>165</v>
      </c>
      <c r="E145" s="40" t="s">
        <v>73</v>
      </c>
      <c r="F145" s="41" t="s">
        <v>75</v>
      </c>
      <c r="G145" s="41" t="s">
        <v>166</v>
      </c>
      <c r="H145" s="35" t="s">
        <v>278</v>
      </c>
      <c r="I145" s="71"/>
      <c r="J145" s="56" t="s">
        <v>170</v>
      </c>
      <c r="K145" s="56" t="s">
        <v>490</v>
      </c>
      <c r="L145" s="34" t="s">
        <v>509</v>
      </c>
      <c r="M145" s="34" t="s">
        <v>509</v>
      </c>
      <c r="N145" s="35"/>
      <c r="O145" s="36"/>
      <c r="P145" s="37"/>
      <c r="Q145" s="38"/>
      <c r="R145" s="39"/>
      <c r="S145" s="39"/>
      <c r="T145" s="39"/>
      <c r="U145" s="39"/>
      <c r="V145" s="39"/>
      <c r="W145" s="39"/>
      <c r="X145" s="39"/>
      <c r="Y145" s="39"/>
      <c r="Z145" s="39">
        <v>4</v>
      </c>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row>
    <row r="146" spans="2:68" ht="23.25" customHeight="1" x14ac:dyDescent="0.15">
      <c r="B146" s="33"/>
      <c r="C146" s="55" t="s">
        <v>298</v>
      </c>
      <c r="D146" s="40" t="s">
        <v>165</v>
      </c>
      <c r="E146" s="40" t="s">
        <v>73</v>
      </c>
      <c r="F146" s="41" t="s">
        <v>75</v>
      </c>
      <c r="G146" s="41" t="s">
        <v>166</v>
      </c>
      <c r="H146" s="35" t="s">
        <v>279</v>
      </c>
      <c r="I146" s="71"/>
      <c r="J146" s="56" t="s">
        <v>170</v>
      </c>
      <c r="K146" s="56" t="s">
        <v>479</v>
      </c>
      <c r="L146" s="34" t="s">
        <v>530</v>
      </c>
      <c r="M146" s="34" t="s">
        <v>530</v>
      </c>
      <c r="N146" s="35"/>
      <c r="O146" s="36"/>
      <c r="P146" s="37"/>
      <c r="Q146" s="38"/>
      <c r="R146" s="39"/>
      <c r="S146" s="39"/>
      <c r="T146" s="39"/>
      <c r="U146" s="39"/>
      <c r="V146" s="39"/>
      <c r="W146" s="39"/>
      <c r="X146" s="39"/>
      <c r="Y146" s="39">
        <v>4</v>
      </c>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row>
    <row r="147" spans="2:68" ht="23.25" customHeight="1" x14ac:dyDescent="0.15">
      <c r="B147" s="33"/>
      <c r="C147" s="55" t="s">
        <v>299</v>
      </c>
      <c r="D147" s="40" t="s">
        <v>165</v>
      </c>
      <c r="E147" s="40" t="s">
        <v>73</v>
      </c>
      <c r="F147" s="41" t="s">
        <v>75</v>
      </c>
      <c r="G147" s="41" t="s">
        <v>166</v>
      </c>
      <c r="H147" s="35" t="s">
        <v>280</v>
      </c>
      <c r="I147" s="71"/>
      <c r="J147" s="56" t="s">
        <v>170</v>
      </c>
      <c r="K147" s="56" t="s">
        <v>491</v>
      </c>
      <c r="L147" s="34" t="s">
        <v>541</v>
      </c>
      <c r="M147" s="34" t="s">
        <v>541</v>
      </c>
      <c r="N147" s="35"/>
      <c r="O147" s="36"/>
      <c r="P147" s="37"/>
      <c r="Q147" s="38"/>
      <c r="R147" s="39"/>
      <c r="S147" s="39"/>
      <c r="T147" s="39"/>
      <c r="U147" s="39"/>
      <c r="V147" s="39"/>
      <c r="W147" s="39"/>
      <c r="X147" s="39"/>
      <c r="Y147" s="39"/>
      <c r="Z147" s="39"/>
      <c r="AA147" s="39"/>
      <c r="AB147" s="39"/>
      <c r="AC147" s="39"/>
      <c r="AD147" s="39"/>
      <c r="AE147" s="39"/>
      <c r="AF147" s="39"/>
      <c r="AG147" s="39"/>
      <c r="AH147" s="39"/>
      <c r="AI147" s="39"/>
      <c r="AJ147" s="39">
        <v>5</v>
      </c>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row>
    <row r="148" spans="2:68" ht="23.25" customHeight="1" x14ac:dyDescent="0.15">
      <c r="B148" s="33"/>
      <c r="C148" s="55" t="s">
        <v>300</v>
      </c>
      <c r="D148" s="40" t="s">
        <v>165</v>
      </c>
      <c r="E148" s="40" t="s">
        <v>73</v>
      </c>
      <c r="F148" s="41" t="s">
        <v>75</v>
      </c>
      <c r="G148" s="41" t="s">
        <v>166</v>
      </c>
      <c r="H148" s="35" t="s">
        <v>281</v>
      </c>
      <c r="I148" s="71"/>
      <c r="J148" s="56" t="s">
        <v>170</v>
      </c>
      <c r="K148" s="56" t="s">
        <v>491</v>
      </c>
      <c r="L148" s="34" t="s">
        <v>541</v>
      </c>
      <c r="M148" s="34" t="s">
        <v>541</v>
      </c>
      <c r="N148" s="35"/>
      <c r="O148" s="36"/>
      <c r="P148" s="37"/>
      <c r="Q148" s="38"/>
      <c r="R148" s="39"/>
      <c r="S148" s="39"/>
      <c r="T148" s="39"/>
      <c r="U148" s="39"/>
      <c r="V148" s="39"/>
      <c r="W148" s="39"/>
      <c r="X148" s="39"/>
      <c r="Y148" s="39"/>
      <c r="Z148" s="39"/>
      <c r="AA148" s="39"/>
      <c r="AB148" s="39"/>
      <c r="AC148" s="39"/>
      <c r="AD148" s="39"/>
      <c r="AE148" s="39"/>
      <c r="AF148" s="39"/>
      <c r="AG148" s="39"/>
      <c r="AH148" s="39"/>
      <c r="AI148" s="39"/>
      <c r="AJ148" s="39">
        <v>4</v>
      </c>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row>
    <row r="149" spans="2:68" ht="63" x14ac:dyDescent="0.15">
      <c r="B149" s="33"/>
      <c r="C149" s="34">
        <v>15</v>
      </c>
      <c r="D149" s="40" t="s">
        <v>145</v>
      </c>
      <c r="E149" s="40" t="s">
        <v>78</v>
      </c>
      <c r="F149" s="41" t="s">
        <v>75</v>
      </c>
      <c r="G149" s="41" t="s">
        <v>171</v>
      </c>
      <c r="H149" s="41" t="s">
        <v>171</v>
      </c>
      <c r="I149" s="71" t="s">
        <v>471</v>
      </c>
      <c r="J149" s="35" t="s">
        <v>173</v>
      </c>
      <c r="K149" s="35"/>
      <c r="L149" s="34"/>
      <c r="M149" s="34"/>
      <c r="N149" s="35"/>
      <c r="O149" s="36"/>
      <c r="P149" s="37"/>
      <c r="Q149" s="38"/>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row>
    <row r="150" spans="2:68" s="52" customFormat="1" ht="22.5" x14ac:dyDescent="0.15">
      <c r="B150" s="44"/>
      <c r="C150" s="45" t="s">
        <v>172</v>
      </c>
      <c r="D150" s="46" t="s">
        <v>145</v>
      </c>
      <c r="E150" s="46" t="s">
        <v>78</v>
      </c>
      <c r="F150" s="43" t="s">
        <v>75</v>
      </c>
      <c r="G150" s="43" t="s">
        <v>171</v>
      </c>
      <c r="H150" s="43" t="s">
        <v>475</v>
      </c>
      <c r="I150" s="72"/>
      <c r="J150" s="47" t="s">
        <v>173</v>
      </c>
      <c r="K150" s="47"/>
      <c r="L150" s="45"/>
      <c r="M150" s="45"/>
      <c r="N150" s="47"/>
      <c r="O150" s="48"/>
      <c r="P150" s="49"/>
      <c r="Q150" s="50"/>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row>
    <row r="151" spans="2:68" ht="22.5" x14ac:dyDescent="0.15">
      <c r="B151" s="33"/>
      <c r="C151" s="42" t="s">
        <v>180</v>
      </c>
      <c r="D151" s="40" t="s">
        <v>145</v>
      </c>
      <c r="E151" s="40" t="s">
        <v>78</v>
      </c>
      <c r="F151" s="41" t="s">
        <v>75</v>
      </c>
      <c r="G151" s="41" t="s">
        <v>171</v>
      </c>
      <c r="H151" s="41" t="s">
        <v>478</v>
      </c>
      <c r="I151" s="71"/>
      <c r="J151" s="35" t="s">
        <v>173</v>
      </c>
      <c r="K151" s="35" t="s">
        <v>492</v>
      </c>
      <c r="L151" s="34" t="s">
        <v>529</v>
      </c>
      <c r="M151" s="34" t="s">
        <v>540</v>
      </c>
      <c r="N151" s="35"/>
      <c r="O151" s="36"/>
      <c r="P151" s="37"/>
      <c r="Q151" s="38"/>
      <c r="R151" s="39"/>
      <c r="S151" s="39"/>
      <c r="T151" s="39"/>
      <c r="U151" s="39">
        <v>4</v>
      </c>
      <c r="V151" s="39"/>
      <c r="W151" s="39"/>
      <c r="X151" s="39"/>
      <c r="Y151" s="39"/>
      <c r="Z151" s="39"/>
      <c r="AA151" s="39"/>
      <c r="AB151" s="39"/>
      <c r="AC151" s="39"/>
      <c r="AD151" s="39"/>
      <c r="AE151" s="39"/>
      <c r="AF151" s="39"/>
      <c r="AG151" s="39"/>
      <c r="AH151" s="39"/>
      <c r="AI151" s="39"/>
      <c r="AJ151" s="39">
        <v>4</v>
      </c>
      <c r="AK151" s="39"/>
      <c r="AL151" s="39"/>
      <c r="AM151" s="39"/>
      <c r="AN151" s="39"/>
      <c r="AO151" s="39"/>
      <c r="AP151" s="39"/>
      <c r="AQ151" s="39"/>
      <c r="AR151" s="39"/>
      <c r="AS151" s="39"/>
      <c r="AT151" s="39"/>
      <c r="AU151" s="39">
        <v>4</v>
      </c>
      <c r="AV151" s="39"/>
      <c r="AW151" s="39"/>
      <c r="AX151" s="39"/>
      <c r="AY151" s="39"/>
      <c r="AZ151" s="39"/>
      <c r="BA151" s="39"/>
      <c r="BB151" s="39"/>
      <c r="BC151" s="39"/>
      <c r="BD151" s="39"/>
      <c r="BE151" s="39"/>
      <c r="BF151" s="39"/>
      <c r="BG151" s="39"/>
      <c r="BH151" s="39"/>
      <c r="BI151" s="39"/>
      <c r="BJ151" s="39"/>
      <c r="BK151" s="39"/>
      <c r="BL151" s="39"/>
      <c r="BM151" s="39"/>
      <c r="BN151" s="39"/>
      <c r="BO151" s="39"/>
      <c r="BP151" s="39"/>
    </row>
    <row r="152" spans="2:68" ht="22.5" x14ac:dyDescent="0.15">
      <c r="B152" s="33"/>
      <c r="C152" s="42" t="s">
        <v>181</v>
      </c>
      <c r="D152" s="40" t="s">
        <v>145</v>
      </c>
      <c r="E152" s="40" t="s">
        <v>78</v>
      </c>
      <c r="F152" s="41" t="s">
        <v>75</v>
      </c>
      <c r="G152" s="41" t="s">
        <v>171</v>
      </c>
      <c r="H152" s="41" t="s">
        <v>477</v>
      </c>
      <c r="I152" s="71"/>
      <c r="J152" s="35" t="s">
        <v>173</v>
      </c>
      <c r="K152" s="35" t="s">
        <v>493</v>
      </c>
      <c r="L152" s="34" t="s">
        <v>529</v>
      </c>
      <c r="M152" s="34" t="s">
        <v>540</v>
      </c>
      <c r="N152" s="35"/>
      <c r="O152" s="36"/>
      <c r="P152" s="37"/>
      <c r="Q152" s="38">
        <v>1</v>
      </c>
      <c r="R152" s="39">
        <v>2</v>
      </c>
      <c r="S152" s="39">
        <v>3</v>
      </c>
      <c r="T152" s="39"/>
      <c r="U152" s="39">
        <v>4</v>
      </c>
      <c r="V152" s="39"/>
      <c r="W152" s="39"/>
      <c r="X152" s="39"/>
      <c r="Y152" s="39"/>
      <c r="Z152" s="39"/>
      <c r="AA152" s="39"/>
      <c r="AB152" s="39"/>
      <c r="AC152" s="39"/>
      <c r="AD152" s="39"/>
      <c r="AE152" s="39"/>
      <c r="AF152" s="39"/>
      <c r="AG152" s="39"/>
      <c r="AH152" s="39"/>
      <c r="AI152" s="39"/>
      <c r="AJ152" s="39">
        <v>4</v>
      </c>
      <c r="AK152" s="39"/>
      <c r="AL152" s="39"/>
      <c r="AM152" s="39"/>
      <c r="AN152" s="39"/>
      <c r="AO152" s="39"/>
      <c r="AP152" s="39"/>
      <c r="AQ152" s="39"/>
      <c r="AR152" s="39"/>
      <c r="AS152" s="39"/>
      <c r="AT152" s="39"/>
      <c r="AU152" s="39">
        <v>4</v>
      </c>
      <c r="AV152" s="39"/>
      <c r="AW152" s="39"/>
      <c r="AX152" s="39"/>
      <c r="AY152" s="39"/>
      <c r="AZ152" s="39"/>
      <c r="BA152" s="39"/>
      <c r="BB152" s="39"/>
      <c r="BC152" s="39"/>
      <c r="BD152" s="39"/>
      <c r="BE152" s="39"/>
      <c r="BF152" s="39"/>
      <c r="BG152" s="39"/>
      <c r="BH152" s="39"/>
      <c r="BI152" s="39"/>
      <c r="BJ152" s="39"/>
      <c r="BK152" s="39"/>
      <c r="BL152" s="39"/>
      <c r="BM152" s="39"/>
      <c r="BN152" s="39"/>
      <c r="BO152" s="39"/>
      <c r="BP152" s="39"/>
    </row>
    <row r="153" spans="2:68" ht="22.5" x14ac:dyDescent="0.15">
      <c r="B153" s="33"/>
      <c r="C153" s="42" t="s">
        <v>476</v>
      </c>
      <c r="D153" s="40" t="s">
        <v>145</v>
      </c>
      <c r="E153" s="40" t="s">
        <v>78</v>
      </c>
      <c r="F153" s="41" t="s">
        <v>75</v>
      </c>
      <c r="G153" s="41" t="s">
        <v>171</v>
      </c>
      <c r="H153" s="41" t="s">
        <v>461</v>
      </c>
      <c r="I153" s="71"/>
      <c r="J153" s="35" t="s">
        <v>173</v>
      </c>
      <c r="K153" s="35" t="s">
        <v>492</v>
      </c>
      <c r="L153" s="34" t="s">
        <v>529</v>
      </c>
      <c r="M153" s="34" t="s">
        <v>540</v>
      </c>
      <c r="N153" s="35"/>
      <c r="O153" s="36"/>
      <c r="P153" s="37"/>
      <c r="Q153" s="38"/>
      <c r="R153" s="39"/>
      <c r="S153" s="39"/>
      <c r="T153" s="39"/>
      <c r="U153" s="39">
        <v>5</v>
      </c>
      <c r="V153" s="39"/>
      <c r="W153" s="39"/>
      <c r="X153" s="39"/>
      <c r="Y153" s="39"/>
      <c r="Z153" s="39"/>
      <c r="AA153" s="39"/>
      <c r="AB153" s="39"/>
      <c r="AC153" s="39"/>
      <c r="AD153" s="39"/>
      <c r="AE153" s="39"/>
      <c r="AF153" s="39"/>
      <c r="AG153" s="39"/>
      <c r="AH153" s="39"/>
      <c r="AI153" s="39"/>
      <c r="AJ153" s="39">
        <v>5</v>
      </c>
      <c r="AK153" s="39"/>
      <c r="AL153" s="39"/>
      <c r="AM153" s="39"/>
      <c r="AN153" s="39"/>
      <c r="AO153" s="39"/>
      <c r="AP153" s="39"/>
      <c r="AQ153" s="39"/>
      <c r="AR153" s="39"/>
      <c r="AS153" s="39"/>
      <c r="AT153" s="39"/>
      <c r="AU153" s="39">
        <v>5</v>
      </c>
      <c r="AV153" s="39"/>
      <c r="AW153" s="39"/>
      <c r="AX153" s="39"/>
      <c r="AY153" s="39"/>
      <c r="AZ153" s="39"/>
      <c r="BA153" s="39"/>
      <c r="BB153" s="39"/>
      <c r="BC153" s="39"/>
      <c r="BD153" s="39"/>
      <c r="BE153" s="39"/>
      <c r="BF153" s="39"/>
      <c r="BG153" s="39"/>
      <c r="BH153" s="39"/>
      <c r="BI153" s="39"/>
      <c r="BJ153" s="39"/>
      <c r="BK153" s="39"/>
      <c r="BL153" s="39"/>
      <c r="BM153" s="39"/>
      <c r="BN153" s="39"/>
      <c r="BO153" s="39"/>
      <c r="BP153" s="39"/>
    </row>
    <row r="154" spans="2:68" s="52" customFormat="1" ht="22.5" x14ac:dyDescent="0.15">
      <c r="B154" s="44"/>
      <c r="C154" s="53" t="s">
        <v>182</v>
      </c>
      <c r="D154" s="46" t="s">
        <v>145</v>
      </c>
      <c r="E154" s="46" t="s">
        <v>78</v>
      </c>
      <c r="F154" s="43" t="s">
        <v>75</v>
      </c>
      <c r="G154" s="43" t="s">
        <v>171</v>
      </c>
      <c r="H154" s="43" t="s">
        <v>174</v>
      </c>
      <c r="I154" s="72"/>
      <c r="J154" s="47" t="s">
        <v>173</v>
      </c>
      <c r="K154" s="47"/>
      <c r="L154" s="45"/>
      <c r="M154" s="45"/>
      <c r="N154" s="47"/>
      <c r="O154" s="48"/>
      <c r="P154" s="49"/>
      <c r="Q154" s="50"/>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row>
    <row r="155" spans="2:68" ht="22.5" x14ac:dyDescent="0.15">
      <c r="B155" s="33"/>
      <c r="C155" s="42" t="s">
        <v>183</v>
      </c>
      <c r="D155" s="40" t="s">
        <v>145</v>
      </c>
      <c r="E155" s="40" t="s">
        <v>78</v>
      </c>
      <c r="F155" s="41" t="s">
        <v>75</v>
      </c>
      <c r="G155" s="41" t="s">
        <v>171</v>
      </c>
      <c r="H155" s="41" t="s">
        <v>358</v>
      </c>
      <c r="I155" s="71"/>
      <c r="J155" s="35" t="s">
        <v>173</v>
      </c>
      <c r="K155" s="35" t="s">
        <v>494</v>
      </c>
      <c r="L155" s="34" t="s">
        <v>517</v>
      </c>
      <c r="M155" s="34" t="s">
        <v>503</v>
      </c>
      <c r="N155" s="35"/>
      <c r="O155" s="36"/>
      <c r="P155" s="64">
        <v>1</v>
      </c>
      <c r="Q155" s="38">
        <v>2</v>
      </c>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row>
    <row r="156" spans="2:68" ht="22.5" x14ac:dyDescent="0.15">
      <c r="B156" s="33"/>
      <c r="C156" s="42" t="s">
        <v>184</v>
      </c>
      <c r="D156" s="40" t="s">
        <v>145</v>
      </c>
      <c r="E156" s="40" t="s">
        <v>78</v>
      </c>
      <c r="F156" s="41" t="s">
        <v>75</v>
      </c>
      <c r="G156" s="41" t="s">
        <v>171</v>
      </c>
      <c r="H156" s="41" t="s">
        <v>359</v>
      </c>
      <c r="I156" s="71"/>
      <c r="J156" s="35" t="s">
        <v>173</v>
      </c>
      <c r="K156" s="35" t="s">
        <v>495</v>
      </c>
      <c r="L156" s="34" t="s">
        <v>516</v>
      </c>
      <c r="M156" s="34" t="s">
        <v>516</v>
      </c>
      <c r="N156" s="35"/>
      <c r="O156" s="36"/>
      <c r="P156" s="37"/>
      <c r="Q156" s="38"/>
      <c r="R156" s="39"/>
      <c r="S156" s="39"/>
      <c r="T156" s="39">
        <v>4</v>
      </c>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row>
    <row r="157" spans="2:68" ht="22.5" x14ac:dyDescent="0.15">
      <c r="B157" s="33"/>
      <c r="C157" s="42" t="s">
        <v>185</v>
      </c>
      <c r="D157" s="40" t="s">
        <v>145</v>
      </c>
      <c r="E157" s="40" t="s">
        <v>78</v>
      </c>
      <c r="F157" s="41" t="s">
        <v>75</v>
      </c>
      <c r="G157" s="41" t="s">
        <v>171</v>
      </c>
      <c r="H157" s="41" t="s">
        <v>361</v>
      </c>
      <c r="I157" s="71"/>
      <c r="J157" s="35" t="s">
        <v>173</v>
      </c>
      <c r="K157" s="35" t="s">
        <v>495</v>
      </c>
      <c r="L157" s="34" t="s">
        <v>551</v>
      </c>
      <c r="M157" s="34" t="s">
        <v>551</v>
      </c>
      <c r="N157" s="35"/>
      <c r="O157" s="36"/>
      <c r="P157" s="37"/>
      <c r="Q157" s="38"/>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v>4</v>
      </c>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row>
    <row r="158" spans="2:68" ht="22.5" x14ac:dyDescent="0.15">
      <c r="B158" s="33"/>
      <c r="C158" s="42" t="s">
        <v>186</v>
      </c>
      <c r="D158" s="40" t="s">
        <v>145</v>
      </c>
      <c r="E158" s="40" t="s">
        <v>78</v>
      </c>
      <c r="F158" s="41" t="s">
        <v>75</v>
      </c>
      <c r="G158" s="41" t="s">
        <v>171</v>
      </c>
      <c r="H158" s="41" t="s">
        <v>360</v>
      </c>
      <c r="I158" s="71"/>
      <c r="J158" s="35" t="s">
        <v>173</v>
      </c>
      <c r="K158" s="35" t="s">
        <v>487</v>
      </c>
      <c r="L158" s="34" t="s">
        <v>535</v>
      </c>
      <c r="M158" s="34" t="s">
        <v>552</v>
      </c>
      <c r="N158" s="35"/>
      <c r="O158" s="36"/>
      <c r="P158" s="37"/>
      <c r="Q158" s="38"/>
      <c r="R158" s="39"/>
      <c r="S158" s="39"/>
      <c r="T158" s="39"/>
      <c r="U158" s="39"/>
      <c r="V158" s="39"/>
      <c r="W158" s="39">
        <v>5</v>
      </c>
      <c r="X158" s="39">
        <v>5</v>
      </c>
      <c r="Y158" s="39">
        <v>5</v>
      </c>
      <c r="Z158" s="39">
        <v>5</v>
      </c>
      <c r="AA158" s="39">
        <v>5</v>
      </c>
      <c r="AB158" s="39">
        <v>5</v>
      </c>
      <c r="AC158" s="39">
        <v>5</v>
      </c>
      <c r="AD158" s="39">
        <v>5</v>
      </c>
      <c r="AE158" s="39">
        <v>5</v>
      </c>
      <c r="AF158" s="39">
        <v>5</v>
      </c>
      <c r="AG158" s="39">
        <v>5</v>
      </c>
      <c r="AH158" s="39">
        <v>5</v>
      </c>
      <c r="AI158" s="39"/>
      <c r="AJ158" s="39"/>
      <c r="AK158" s="39"/>
      <c r="AL158" s="39"/>
      <c r="AM158" s="39"/>
      <c r="AN158" s="39"/>
      <c r="AO158" s="39"/>
      <c r="AP158" s="39"/>
      <c r="AQ158" s="39"/>
      <c r="AR158" s="39"/>
      <c r="AS158" s="39"/>
      <c r="AT158" s="39"/>
      <c r="AU158" s="39"/>
      <c r="AV158" s="39">
        <v>5</v>
      </c>
      <c r="AW158" s="39">
        <v>5</v>
      </c>
      <c r="AX158" s="39">
        <v>5</v>
      </c>
      <c r="AY158" s="39">
        <v>5</v>
      </c>
      <c r="AZ158" s="39">
        <v>5</v>
      </c>
      <c r="BA158" s="39">
        <v>5</v>
      </c>
      <c r="BB158" s="39">
        <v>5</v>
      </c>
      <c r="BC158" s="39">
        <v>5</v>
      </c>
      <c r="BD158" s="39">
        <v>5</v>
      </c>
      <c r="BE158" s="39">
        <v>5</v>
      </c>
      <c r="BF158" s="39">
        <v>5</v>
      </c>
      <c r="BG158" s="39">
        <v>5</v>
      </c>
      <c r="BH158" s="39">
        <v>5</v>
      </c>
      <c r="BI158" s="39">
        <v>5</v>
      </c>
      <c r="BJ158" s="39">
        <v>5</v>
      </c>
      <c r="BK158" s="39">
        <v>5</v>
      </c>
      <c r="BL158" s="39">
        <v>5</v>
      </c>
      <c r="BM158" s="39"/>
      <c r="BN158" s="39"/>
      <c r="BO158" s="39"/>
      <c r="BP158" s="39"/>
    </row>
    <row r="159" spans="2:68" s="52" customFormat="1" ht="23.25" customHeight="1" x14ac:dyDescent="0.15">
      <c r="B159" s="44"/>
      <c r="C159" s="53" t="s">
        <v>187</v>
      </c>
      <c r="D159" s="46" t="s">
        <v>145</v>
      </c>
      <c r="E159" s="46" t="s">
        <v>78</v>
      </c>
      <c r="F159" s="43" t="s">
        <v>75</v>
      </c>
      <c r="G159" s="43" t="s">
        <v>171</v>
      </c>
      <c r="H159" s="43" t="s">
        <v>175</v>
      </c>
      <c r="I159" s="72"/>
      <c r="J159" s="47" t="s">
        <v>173</v>
      </c>
      <c r="K159" s="47"/>
      <c r="L159" s="45"/>
      <c r="M159" s="45"/>
      <c r="N159" s="47"/>
      <c r="O159" s="48"/>
      <c r="P159" s="49"/>
      <c r="Q159" s="50"/>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row>
    <row r="160" spans="2:68" ht="23.25" customHeight="1" x14ac:dyDescent="0.15">
      <c r="B160" s="33"/>
      <c r="C160" s="42" t="s">
        <v>188</v>
      </c>
      <c r="D160" s="40" t="s">
        <v>145</v>
      </c>
      <c r="E160" s="40" t="s">
        <v>78</v>
      </c>
      <c r="F160" s="41" t="s">
        <v>75</v>
      </c>
      <c r="G160" s="41" t="s">
        <v>171</v>
      </c>
      <c r="H160" s="41" t="s">
        <v>362</v>
      </c>
      <c r="I160" s="71"/>
      <c r="J160" s="35" t="s">
        <v>173</v>
      </c>
      <c r="K160" s="35" t="s">
        <v>496</v>
      </c>
      <c r="L160" s="34" t="s">
        <v>517</v>
      </c>
      <c r="M160" s="34" t="s">
        <v>529</v>
      </c>
      <c r="N160" s="35"/>
      <c r="O160" s="36"/>
      <c r="P160" s="64">
        <v>1</v>
      </c>
      <c r="Q160" s="38">
        <v>2</v>
      </c>
      <c r="R160" s="51"/>
      <c r="S160" s="39"/>
      <c r="T160" s="39">
        <v>3</v>
      </c>
      <c r="U160" s="39">
        <v>3</v>
      </c>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row>
    <row r="161" spans="2:68" ht="23.25" customHeight="1" x14ac:dyDescent="0.15">
      <c r="B161" s="33"/>
      <c r="C161" s="42" t="s">
        <v>189</v>
      </c>
      <c r="D161" s="40" t="s">
        <v>145</v>
      </c>
      <c r="E161" s="40" t="s">
        <v>78</v>
      </c>
      <c r="F161" s="41" t="s">
        <v>75</v>
      </c>
      <c r="G161" s="41" t="s">
        <v>171</v>
      </c>
      <c r="H161" s="41" t="s">
        <v>363</v>
      </c>
      <c r="I161" s="71"/>
      <c r="J161" s="35" t="s">
        <v>173</v>
      </c>
      <c r="K161" s="35" t="s">
        <v>497</v>
      </c>
      <c r="L161" s="34" t="s">
        <v>529</v>
      </c>
      <c r="M161" s="34" t="s">
        <v>529</v>
      </c>
      <c r="N161" s="35"/>
      <c r="O161" s="36"/>
      <c r="P161" s="37"/>
      <c r="Q161" s="38"/>
      <c r="R161" s="39"/>
      <c r="S161" s="39"/>
      <c r="T161" s="39"/>
      <c r="U161" s="39">
        <v>4</v>
      </c>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row>
    <row r="162" spans="2:68" ht="23.25" customHeight="1" x14ac:dyDescent="0.15">
      <c r="B162" s="33"/>
      <c r="C162" s="42" t="s">
        <v>190</v>
      </c>
      <c r="D162" s="40" t="s">
        <v>145</v>
      </c>
      <c r="E162" s="40" t="s">
        <v>78</v>
      </c>
      <c r="F162" s="41" t="s">
        <v>75</v>
      </c>
      <c r="G162" s="41" t="s">
        <v>171</v>
      </c>
      <c r="H162" s="41" t="s">
        <v>364</v>
      </c>
      <c r="I162" s="71"/>
      <c r="J162" s="35" t="s">
        <v>173</v>
      </c>
      <c r="K162" s="35" t="s">
        <v>497</v>
      </c>
      <c r="L162" s="34" t="s">
        <v>506</v>
      </c>
      <c r="M162" s="34" t="s">
        <v>536</v>
      </c>
      <c r="N162" s="35"/>
      <c r="O162" s="36"/>
      <c r="P162" s="37"/>
      <c r="Q162" s="38"/>
      <c r="R162" s="39"/>
      <c r="S162" s="39"/>
      <c r="T162" s="39"/>
      <c r="U162" s="39"/>
      <c r="V162" s="39">
        <v>4</v>
      </c>
      <c r="W162" s="39">
        <v>4</v>
      </c>
      <c r="X162" s="39">
        <v>4</v>
      </c>
      <c r="Y162" s="39">
        <v>4</v>
      </c>
      <c r="Z162" s="39">
        <v>4</v>
      </c>
      <c r="AA162" s="39">
        <v>4</v>
      </c>
      <c r="AB162" s="39">
        <v>4</v>
      </c>
      <c r="AC162" s="39">
        <v>4</v>
      </c>
      <c r="AD162" s="39">
        <v>4</v>
      </c>
      <c r="AE162" s="39">
        <v>4</v>
      </c>
      <c r="AF162" s="39">
        <v>4</v>
      </c>
      <c r="AG162" s="39">
        <v>4</v>
      </c>
      <c r="AH162" s="39">
        <v>4</v>
      </c>
      <c r="AI162" s="39">
        <v>4</v>
      </c>
      <c r="AJ162" s="39">
        <v>4</v>
      </c>
      <c r="AK162" s="39">
        <v>4</v>
      </c>
      <c r="AL162" s="39">
        <v>4</v>
      </c>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row>
    <row r="163" spans="2:68" ht="23.25" customHeight="1" x14ac:dyDescent="0.15">
      <c r="B163" s="33"/>
      <c r="C163" s="42" t="s">
        <v>462</v>
      </c>
      <c r="D163" s="40" t="s">
        <v>145</v>
      </c>
      <c r="E163" s="40" t="s">
        <v>78</v>
      </c>
      <c r="F163" s="41" t="s">
        <v>75</v>
      </c>
      <c r="G163" s="41" t="s">
        <v>171</v>
      </c>
      <c r="H163" s="41" t="s">
        <v>365</v>
      </c>
      <c r="I163" s="71"/>
      <c r="J163" s="35" t="s">
        <v>173</v>
      </c>
      <c r="K163" s="35" t="s">
        <v>487</v>
      </c>
      <c r="L163" s="34" t="s">
        <v>506</v>
      </c>
      <c r="M163" s="34" t="s">
        <v>517</v>
      </c>
      <c r="N163" s="35"/>
      <c r="O163" s="36"/>
      <c r="P163" s="37"/>
      <c r="Q163" s="38"/>
      <c r="R163" s="39"/>
      <c r="S163" s="39"/>
      <c r="T163" s="39"/>
      <c r="U163" s="38">
        <v>5</v>
      </c>
      <c r="V163" s="39"/>
      <c r="W163" s="39"/>
      <c r="X163" s="39"/>
      <c r="Y163" s="39"/>
      <c r="Z163" s="39">
        <v>5</v>
      </c>
      <c r="AA163" s="39"/>
      <c r="AB163" s="39"/>
      <c r="AC163" s="39"/>
      <c r="AD163" s="39">
        <v>5</v>
      </c>
      <c r="AE163" s="39"/>
      <c r="AF163" s="39"/>
      <c r="AG163" s="39"/>
      <c r="AH163" s="39">
        <v>5</v>
      </c>
      <c r="AI163" s="39"/>
      <c r="AJ163" s="39"/>
      <c r="AK163" s="39"/>
      <c r="AL163" s="39"/>
      <c r="AM163" s="39">
        <v>5</v>
      </c>
      <c r="AN163" s="39"/>
      <c r="AO163" s="39"/>
      <c r="AP163" s="39"/>
      <c r="AQ163" s="39">
        <v>5</v>
      </c>
      <c r="AR163" s="39"/>
      <c r="AS163" s="39"/>
      <c r="AT163" s="39"/>
      <c r="AU163" s="39">
        <v>5</v>
      </c>
      <c r="AV163" s="39"/>
      <c r="AW163" s="39"/>
      <c r="AX163" s="39"/>
      <c r="AY163" s="39"/>
      <c r="AZ163" s="39">
        <v>5</v>
      </c>
      <c r="BA163" s="39"/>
      <c r="BB163" s="39"/>
      <c r="BC163" s="39"/>
      <c r="BD163" s="39">
        <v>5</v>
      </c>
      <c r="BE163" s="39"/>
      <c r="BF163" s="39"/>
      <c r="BG163" s="39"/>
      <c r="BH163" s="39">
        <v>5</v>
      </c>
      <c r="BI163" s="39"/>
      <c r="BJ163" s="39"/>
      <c r="BK163" s="39"/>
      <c r="BL163" s="39"/>
      <c r="BM163" s="39">
        <v>5</v>
      </c>
      <c r="BN163" s="39"/>
      <c r="BO163" s="39"/>
      <c r="BP163" s="39"/>
    </row>
    <row r="164" spans="2:68" ht="23.25" customHeight="1" x14ac:dyDescent="0.15">
      <c r="B164" s="33"/>
      <c r="C164" s="42" t="s">
        <v>463</v>
      </c>
      <c r="D164" s="40" t="s">
        <v>145</v>
      </c>
      <c r="E164" s="40" t="s">
        <v>78</v>
      </c>
      <c r="F164" s="41" t="s">
        <v>75</v>
      </c>
      <c r="G164" s="41" t="s">
        <v>171</v>
      </c>
      <c r="H164" s="41" t="s">
        <v>366</v>
      </c>
      <c r="I164" s="71"/>
      <c r="J164" s="35" t="s">
        <v>173</v>
      </c>
      <c r="K164" s="35" t="s">
        <v>495</v>
      </c>
      <c r="L164" s="34" t="s">
        <v>506</v>
      </c>
      <c r="M164" s="34" t="s">
        <v>517</v>
      </c>
      <c r="N164" s="35"/>
      <c r="O164" s="36"/>
      <c r="P164" s="37"/>
      <c r="Q164" s="38"/>
      <c r="R164" s="39"/>
      <c r="S164" s="39"/>
      <c r="T164" s="39"/>
      <c r="U164" s="39">
        <v>5</v>
      </c>
      <c r="V164" s="39">
        <v>5</v>
      </c>
      <c r="W164" s="39"/>
      <c r="X164" s="39"/>
      <c r="Y164" s="39"/>
      <c r="Z164" s="39">
        <v>5</v>
      </c>
      <c r="AA164" s="39"/>
      <c r="AB164" s="39"/>
      <c r="AC164" s="39"/>
      <c r="AD164" s="39">
        <v>5</v>
      </c>
      <c r="AE164" s="39">
        <v>5</v>
      </c>
      <c r="AF164" s="39"/>
      <c r="AG164" s="39"/>
      <c r="AH164" s="39"/>
      <c r="AI164" s="39">
        <v>5</v>
      </c>
      <c r="AJ164" s="39">
        <v>5</v>
      </c>
      <c r="AK164" s="39"/>
      <c r="AL164" s="39">
        <v>5</v>
      </c>
      <c r="AM164" s="39">
        <v>5</v>
      </c>
      <c r="AN164" s="39"/>
      <c r="AO164" s="39"/>
      <c r="AP164" s="39"/>
      <c r="AQ164" s="39">
        <v>5</v>
      </c>
      <c r="AR164" s="39"/>
      <c r="AS164" s="39"/>
      <c r="AT164" s="39"/>
      <c r="AU164" s="39">
        <v>5</v>
      </c>
      <c r="AV164" s="39">
        <v>5</v>
      </c>
      <c r="AW164" s="39"/>
      <c r="AX164" s="39"/>
      <c r="AY164" s="39"/>
      <c r="AZ164" s="39">
        <v>5</v>
      </c>
      <c r="BA164" s="39"/>
      <c r="BB164" s="39"/>
      <c r="BC164" s="39"/>
      <c r="BD164" s="39">
        <v>5</v>
      </c>
      <c r="BE164" s="39"/>
      <c r="BF164" s="39"/>
      <c r="BG164" s="39"/>
      <c r="BH164" s="39">
        <v>5</v>
      </c>
      <c r="BI164" s="39"/>
      <c r="BJ164" s="39"/>
      <c r="BK164" s="39"/>
      <c r="BL164" s="39"/>
      <c r="BM164" s="39"/>
      <c r="BN164" s="39"/>
      <c r="BO164" s="39"/>
      <c r="BP164" s="39"/>
    </row>
    <row r="165" spans="2:68" s="52" customFormat="1" ht="23.25" customHeight="1" x14ac:dyDescent="0.15">
      <c r="B165" s="44"/>
      <c r="C165" s="53" t="s">
        <v>464</v>
      </c>
      <c r="D165" s="46" t="s">
        <v>145</v>
      </c>
      <c r="E165" s="46" t="s">
        <v>78</v>
      </c>
      <c r="F165" s="43" t="s">
        <v>75</v>
      </c>
      <c r="G165" s="43" t="s">
        <v>171</v>
      </c>
      <c r="H165" s="43" t="s">
        <v>176</v>
      </c>
      <c r="I165" s="72"/>
      <c r="J165" s="47" t="s">
        <v>173</v>
      </c>
      <c r="K165" s="47"/>
      <c r="L165" s="45"/>
      <c r="M165" s="45"/>
      <c r="N165" s="47"/>
      <c r="O165" s="48"/>
      <c r="P165" s="49"/>
      <c r="Q165" s="50"/>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row>
    <row r="166" spans="2:68" ht="23.25" customHeight="1" x14ac:dyDescent="0.15">
      <c r="B166" s="33"/>
      <c r="C166" s="42" t="s">
        <v>465</v>
      </c>
      <c r="D166" s="40" t="s">
        <v>145</v>
      </c>
      <c r="E166" s="40" t="s">
        <v>78</v>
      </c>
      <c r="F166" s="41" t="s">
        <v>75</v>
      </c>
      <c r="G166" s="41" t="s">
        <v>171</v>
      </c>
      <c r="H166" s="41" t="s">
        <v>177</v>
      </c>
      <c r="I166" s="71"/>
      <c r="J166" s="35" t="s">
        <v>173</v>
      </c>
      <c r="K166" s="35" t="s">
        <v>498</v>
      </c>
      <c r="L166" s="34" t="s">
        <v>517</v>
      </c>
      <c r="M166" s="34" t="s">
        <v>529</v>
      </c>
      <c r="N166" s="35"/>
      <c r="O166" s="36"/>
      <c r="P166" s="64">
        <v>1</v>
      </c>
      <c r="Q166" s="38">
        <v>2</v>
      </c>
      <c r="R166" s="39"/>
      <c r="S166" s="39"/>
      <c r="T166" s="39"/>
      <c r="U166" s="39">
        <v>3</v>
      </c>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row>
    <row r="167" spans="2:68" ht="23.25" customHeight="1" x14ac:dyDescent="0.15">
      <c r="B167" s="33"/>
      <c r="C167" s="42" t="s">
        <v>466</v>
      </c>
      <c r="D167" s="40" t="s">
        <v>145</v>
      </c>
      <c r="E167" s="40" t="s">
        <v>78</v>
      </c>
      <c r="F167" s="41" t="s">
        <v>75</v>
      </c>
      <c r="G167" s="41" t="s">
        <v>171</v>
      </c>
      <c r="H167" s="41" t="s">
        <v>178</v>
      </c>
      <c r="I167" s="71"/>
      <c r="J167" s="35" t="s">
        <v>173</v>
      </c>
      <c r="K167" s="35" t="s">
        <v>499</v>
      </c>
      <c r="L167" s="34" t="s">
        <v>529</v>
      </c>
      <c r="M167" s="34" t="s">
        <v>515</v>
      </c>
      <c r="N167" s="35"/>
      <c r="O167" s="36"/>
      <c r="P167" s="37"/>
      <c r="Q167" s="38"/>
      <c r="R167" s="39"/>
      <c r="S167" s="39"/>
      <c r="T167" s="39"/>
      <c r="U167" s="38">
        <v>4</v>
      </c>
      <c r="V167" s="39"/>
      <c r="W167" s="39"/>
      <c r="X167" s="39"/>
      <c r="Y167" s="39"/>
      <c r="Z167" s="39">
        <v>4</v>
      </c>
      <c r="AA167" s="39"/>
      <c r="AB167" s="39"/>
      <c r="AC167" s="39"/>
      <c r="AD167" s="39">
        <v>4</v>
      </c>
      <c r="AE167" s="39"/>
      <c r="AF167" s="39"/>
      <c r="AG167" s="39"/>
      <c r="AH167" s="39">
        <v>4</v>
      </c>
      <c r="AI167" s="39"/>
      <c r="AJ167" s="39"/>
      <c r="AK167" s="39"/>
      <c r="AL167" s="39"/>
      <c r="AM167" s="39">
        <v>4</v>
      </c>
      <c r="AN167" s="39"/>
      <c r="AO167" s="39"/>
      <c r="AP167" s="39"/>
      <c r="AQ167" s="39">
        <v>4</v>
      </c>
      <c r="AR167" s="39"/>
      <c r="AS167" s="39"/>
      <c r="AT167" s="39"/>
      <c r="AU167" s="39">
        <v>4</v>
      </c>
      <c r="AV167" s="39"/>
      <c r="AW167" s="39"/>
      <c r="AX167" s="39"/>
      <c r="AY167" s="39"/>
      <c r="AZ167" s="39">
        <v>4</v>
      </c>
      <c r="BA167" s="39"/>
      <c r="BB167" s="39"/>
      <c r="BC167" s="39"/>
      <c r="BD167" s="39">
        <v>4</v>
      </c>
      <c r="BE167" s="39"/>
      <c r="BF167" s="39"/>
      <c r="BG167" s="39"/>
      <c r="BH167" s="39">
        <v>4</v>
      </c>
      <c r="BI167" s="39"/>
      <c r="BJ167" s="39"/>
      <c r="BK167" s="39"/>
      <c r="BL167" s="39"/>
      <c r="BM167" s="39">
        <v>4</v>
      </c>
      <c r="BN167" s="39"/>
      <c r="BO167" s="39"/>
      <c r="BP167" s="39"/>
    </row>
    <row r="168" spans="2:68" ht="23.25" customHeight="1" x14ac:dyDescent="0.15">
      <c r="B168" s="33"/>
      <c r="C168" s="42" t="s">
        <v>467</v>
      </c>
      <c r="D168" s="40" t="s">
        <v>145</v>
      </c>
      <c r="E168" s="40" t="s">
        <v>78</v>
      </c>
      <c r="F168" s="41" t="s">
        <v>75</v>
      </c>
      <c r="G168" s="41" t="s">
        <v>171</v>
      </c>
      <c r="H168" s="41" t="s">
        <v>179</v>
      </c>
      <c r="I168" s="71"/>
      <c r="J168" s="35" t="s">
        <v>173</v>
      </c>
      <c r="K168" s="35" t="s">
        <v>499</v>
      </c>
      <c r="L168" s="34" t="s">
        <v>509</v>
      </c>
      <c r="M168" s="34" t="s">
        <v>515</v>
      </c>
      <c r="N168" s="35"/>
      <c r="O168" s="36"/>
      <c r="P168" s="37"/>
      <c r="Q168" s="38"/>
      <c r="R168" s="39"/>
      <c r="S168" s="39"/>
      <c r="T168" s="39"/>
      <c r="U168" s="39"/>
      <c r="V168" s="39"/>
      <c r="W168" s="39"/>
      <c r="X168" s="39"/>
      <c r="Y168" s="39"/>
      <c r="Z168" s="39">
        <v>5</v>
      </c>
      <c r="AA168" s="39"/>
      <c r="AB168" s="39"/>
      <c r="AC168" s="39"/>
      <c r="AD168" s="39">
        <v>5</v>
      </c>
      <c r="AE168" s="39"/>
      <c r="AF168" s="39"/>
      <c r="AG168" s="39"/>
      <c r="AH168" s="39">
        <v>5</v>
      </c>
      <c r="AI168" s="39"/>
      <c r="AJ168" s="39"/>
      <c r="AK168" s="39"/>
      <c r="AL168" s="39"/>
      <c r="AM168" s="39">
        <v>5</v>
      </c>
      <c r="AN168" s="39"/>
      <c r="AO168" s="39"/>
      <c r="AP168" s="39"/>
      <c r="AQ168" s="39">
        <v>5</v>
      </c>
      <c r="AR168" s="39"/>
      <c r="AS168" s="39"/>
      <c r="AT168" s="39"/>
      <c r="AU168" s="39">
        <v>5</v>
      </c>
      <c r="AV168" s="39"/>
      <c r="AW168" s="39"/>
      <c r="AX168" s="39"/>
      <c r="AY168" s="39"/>
      <c r="AZ168" s="39">
        <v>5</v>
      </c>
      <c r="BA168" s="39"/>
      <c r="BB168" s="39"/>
      <c r="BC168" s="39"/>
      <c r="BD168" s="39">
        <v>5</v>
      </c>
      <c r="BE168" s="39"/>
      <c r="BF168" s="39"/>
      <c r="BG168" s="39"/>
      <c r="BH168" s="39">
        <v>5</v>
      </c>
      <c r="BI168" s="39"/>
      <c r="BJ168" s="39"/>
      <c r="BK168" s="39"/>
      <c r="BL168" s="39"/>
      <c r="BM168" s="39">
        <v>5</v>
      </c>
      <c r="BN168" s="39"/>
      <c r="BO168" s="39"/>
      <c r="BP168" s="39"/>
    </row>
    <row r="169" spans="2:68" ht="23.25" customHeight="1" x14ac:dyDescent="0.15">
      <c r="B169" s="33"/>
      <c r="C169" s="75" t="s">
        <v>46</v>
      </c>
      <c r="D169" s="40" t="s">
        <v>11</v>
      </c>
      <c r="E169" s="40" t="s">
        <v>76</v>
      </c>
      <c r="F169" s="41" t="s">
        <v>75</v>
      </c>
      <c r="G169" s="41" t="s">
        <v>191</v>
      </c>
      <c r="H169" s="41" t="s">
        <v>191</v>
      </c>
      <c r="I169" s="71" t="s">
        <v>459</v>
      </c>
      <c r="J169" s="35" t="s">
        <v>192</v>
      </c>
      <c r="K169" s="35"/>
      <c r="L169" s="34"/>
      <c r="M169" s="34"/>
      <c r="N169" s="35"/>
      <c r="O169" s="36"/>
      <c r="P169" s="37"/>
      <c r="Q169" s="38"/>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row>
    <row r="170" spans="2:68" s="52" customFormat="1" ht="23.25" customHeight="1" x14ac:dyDescent="0.15">
      <c r="B170" s="44"/>
      <c r="C170" s="53" t="s">
        <v>430</v>
      </c>
      <c r="D170" s="46" t="s">
        <v>11</v>
      </c>
      <c r="E170" s="46" t="s">
        <v>76</v>
      </c>
      <c r="F170" s="43" t="s">
        <v>75</v>
      </c>
      <c r="G170" s="43" t="s">
        <v>191</v>
      </c>
      <c r="H170" s="47" t="s">
        <v>323</v>
      </c>
      <c r="I170" s="74"/>
      <c r="J170" s="47" t="s">
        <v>192</v>
      </c>
      <c r="K170" s="47"/>
      <c r="L170" s="45"/>
      <c r="M170" s="45"/>
      <c r="N170" s="47"/>
      <c r="O170" s="48"/>
      <c r="P170" s="49"/>
      <c r="Q170" s="50"/>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row>
    <row r="171" spans="2:68" ht="23.25" customHeight="1" x14ac:dyDescent="0.15">
      <c r="B171" s="33"/>
      <c r="C171" s="42" t="s">
        <v>431</v>
      </c>
      <c r="D171" s="40" t="s">
        <v>11</v>
      </c>
      <c r="E171" s="40" t="s">
        <v>76</v>
      </c>
      <c r="F171" s="41" t="s">
        <v>75</v>
      </c>
      <c r="G171" s="41" t="s">
        <v>191</v>
      </c>
      <c r="H171" s="35" t="s">
        <v>377</v>
      </c>
      <c r="I171" s="71"/>
      <c r="J171" s="35" t="s">
        <v>192</v>
      </c>
      <c r="K171" s="35" t="s">
        <v>324</v>
      </c>
      <c r="L171" s="34" t="s">
        <v>517</v>
      </c>
      <c r="M171" s="34" t="s">
        <v>516</v>
      </c>
      <c r="N171" s="35"/>
      <c r="O171" s="36"/>
      <c r="P171" s="64">
        <v>1</v>
      </c>
      <c r="Q171" s="38">
        <v>2</v>
      </c>
      <c r="R171" s="39"/>
      <c r="S171" s="39"/>
      <c r="T171" s="39">
        <v>3</v>
      </c>
      <c r="U171" s="51"/>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row>
    <row r="172" spans="2:68" ht="23.25" customHeight="1" x14ac:dyDescent="0.15">
      <c r="B172" s="33"/>
      <c r="C172" s="42" t="s">
        <v>432</v>
      </c>
      <c r="D172" s="40" t="s">
        <v>11</v>
      </c>
      <c r="E172" s="40" t="s">
        <v>76</v>
      </c>
      <c r="F172" s="41" t="s">
        <v>75</v>
      </c>
      <c r="G172" s="41" t="s">
        <v>191</v>
      </c>
      <c r="H172" s="35" t="s">
        <v>367</v>
      </c>
      <c r="I172" s="71"/>
      <c r="J172" s="35" t="s">
        <v>192</v>
      </c>
      <c r="K172" s="35" t="s">
        <v>324</v>
      </c>
      <c r="L172" s="34" t="s">
        <v>506</v>
      </c>
      <c r="M172" s="34" t="s">
        <v>506</v>
      </c>
      <c r="N172" s="35"/>
      <c r="O172" s="36"/>
      <c r="P172" s="37"/>
      <c r="Q172" s="38"/>
      <c r="R172" s="39"/>
      <c r="S172" s="39"/>
      <c r="T172" s="39"/>
      <c r="U172" s="39"/>
      <c r="V172" s="39">
        <v>4</v>
      </c>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row>
    <row r="173" spans="2:68" ht="23.25" customHeight="1" x14ac:dyDescent="0.15">
      <c r="B173" s="33"/>
      <c r="C173" s="42" t="s">
        <v>433</v>
      </c>
      <c r="D173" s="40" t="s">
        <v>11</v>
      </c>
      <c r="E173" s="40" t="s">
        <v>76</v>
      </c>
      <c r="F173" s="41" t="s">
        <v>75</v>
      </c>
      <c r="G173" s="41" t="s">
        <v>191</v>
      </c>
      <c r="H173" s="35" t="s">
        <v>372</v>
      </c>
      <c r="I173" s="71"/>
      <c r="J173" s="35" t="s">
        <v>192</v>
      </c>
      <c r="K173" s="35" t="s">
        <v>324</v>
      </c>
      <c r="L173" s="34" t="s">
        <v>506</v>
      </c>
      <c r="M173" s="34" t="s">
        <v>508</v>
      </c>
      <c r="N173" s="35"/>
      <c r="O173" s="36"/>
      <c r="P173" s="37"/>
      <c r="Q173" s="38"/>
      <c r="R173" s="39"/>
      <c r="S173" s="39"/>
      <c r="T173" s="39"/>
      <c r="U173" s="39"/>
      <c r="V173" s="39"/>
      <c r="W173" s="39"/>
      <c r="X173" s="39">
        <v>4</v>
      </c>
      <c r="Y173" s="39">
        <v>4</v>
      </c>
      <c r="Z173" s="39">
        <v>4</v>
      </c>
      <c r="AA173" s="39">
        <v>4</v>
      </c>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v>4</v>
      </c>
      <c r="AZ173" s="39">
        <v>4</v>
      </c>
      <c r="BA173" s="39">
        <v>4</v>
      </c>
      <c r="BB173" s="39">
        <v>4</v>
      </c>
      <c r="BC173" s="39"/>
      <c r="BD173" s="39"/>
      <c r="BE173" s="39"/>
      <c r="BF173" s="39"/>
      <c r="BG173" s="39"/>
      <c r="BH173" s="39"/>
      <c r="BI173" s="39"/>
      <c r="BJ173" s="39"/>
      <c r="BK173" s="39"/>
      <c r="BL173" s="39"/>
      <c r="BM173" s="39"/>
      <c r="BN173" s="39"/>
      <c r="BO173" s="39"/>
      <c r="BP173" s="39"/>
    </row>
    <row r="174" spans="2:68" ht="23.25" customHeight="1" x14ac:dyDescent="0.15">
      <c r="B174" s="33"/>
      <c r="C174" s="42" t="s">
        <v>434</v>
      </c>
      <c r="D174" s="40" t="s">
        <v>11</v>
      </c>
      <c r="E174" s="40" t="s">
        <v>76</v>
      </c>
      <c r="F174" s="41" t="s">
        <v>75</v>
      </c>
      <c r="G174" s="41" t="s">
        <v>191</v>
      </c>
      <c r="H174" s="35" t="s">
        <v>368</v>
      </c>
      <c r="I174" s="71"/>
      <c r="J174" s="35" t="s">
        <v>192</v>
      </c>
      <c r="K174" s="35" t="s">
        <v>324</v>
      </c>
      <c r="L174" s="34" t="s">
        <v>504</v>
      </c>
      <c r="M174" s="34" t="s">
        <v>550</v>
      </c>
      <c r="N174" s="35"/>
      <c r="O174" s="36"/>
      <c r="P174" s="37"/>
      <c r="Q174" s="38"/>
      <c r="R174" s="39"/>
      <c r="S174" s="39"/>
      <c r="T174" s="39"/>
      <c r="U174" s="39"/>
      <c r="V174" s="39"/>
      <c r="W174" s="39"/>
      <c r="X174" s="39"/>
      <c r="Y174" s="39"/>
      <c r="Z174" s="39"/>
      <c r="AA174" s="39">
        <v>5</v>
      </c>
      <c r="AB174" s="39">
        <v>5</v>
      </c>
      <c r="AC174" s="39">
        <v>5</v>
      </c>
      <c r="AD174" s="39">
        <v>5</v>
      </c>
      <c r="AE174" s="39">
        <v>5</v>
      </c>
      <c r="AF174" s="39">
        <v>5</v>
      </c>
      <c r="AG174" s="39">
        <v>5</v>
      </c>
      <c r="AH174" s="39">
        <v>5</v>
      </c>
      <c r="AI174" s="39"/>
      <c r="AJ174" s="39"/>
      <c r="AK174" s="39"/>
      <c r="AL174" s="39"/>
      <c r="AM174" s="39"/>
      <c r="AN174" s="39"/>
      <c r="AO174" s="39"/>
      <c r="AP174" s="39"/>
      <c r="AQ174" s="39"/>
      <c r="AR174" s="39"/>
      <c r="AS174" s="39"/>
      <c r="AT174" s="39"/>
      <c r="AU174" s="39"/>
      <c r="AV174" s="39"/>
      <c r="AW174" s="39"/>
      <c r="AX174" s="39"/>
      <c r="AY174" s="39"/>
      <c r="AZ174" s="39"/>
      <c r="BA174" s="39"/>
      <c r="BB174" s="39">
        <v>5</v>
      </c>
      <c r="BC174" s="39">
        <v>5</v>
      </c>
      <c r="BD174" s="39">
        <v>5</v>
      </c>
      <c r="BE174" s="39">
        <v>5</v>
      </c>
      <c r="BF174" s="39">
        <v>5</v>
      </c>
      <c r="BG174" s="39">
        <v>5</v>
      </c>
      <c r="BH174" s="39">
        <v>5</v>
      </c>
      <c r="BI174" s="39">
        <v>5</v>
      </c>
      <c r="BJ174" s="39">
        <v>5</v>
      </c>
      <c r="BK174" s="39"/>
      <c r="BL174" s="39"/>
      <c r="BM174" s="39"/>
      <c r="BN174" s="39"/>
      <c r="BO174" s="39"/>
      <c r="BP174" s="39"/>
    </row>
    <row r="175" spans="2:68" s="52" customFormat="1" ht="23.25" customHeight="1" x14ac:dyDescent="0.15">
      <c r="B175" s="44"/>
      <c r="C175" s="53" t="s">
        <v>435</v>
      </c>
      <c r="D175" s="46" t="s">
        <v>11</v>
      </c>
      <c r="E175" s="46" t="s">
        <v>76</v>
      </c>
      <c r="F175" s="43" t="s">
        <v>75</v>
      </c>
      <c r="G175" s="43" t="s">
        <v>191</v>
      </c>
      <c r="H175" s="47" t="s">
        <v>369</v>
      </c>
      <c r="I175" s="74"/>
      <c r="J175" s="47" t="s">
        <v>192</v>
      </c>
      <c r="K175" s="47"/>
      <c r="L175" s="45"/>
      <c r="M175" s="45"/>
      <c r="N175" s="47"/>
      <c r="O175" s="48"/>
      <c r="P175" s="49"/>
      <c r="Q175" s="50"/>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row>
    <row r="176" spans="2:68" ht="23.25" customHeight="1" x14ac:dyDescent="0.15">
      <c r="B176" s="33"/>
      <c r="C176" s="42" t="s">
        <v>436</v>
      </c>
      <c r="D176" s="40" t="s">
        <v>11</v>
      </c>
      <c r="E176" s="40" t="s">
        <v>76</v>
      </c>
      <c r="F176" s="41" t="s">
        <v>75</v>
      </c>
      <c r="G176" s="41" t="s">
        <v>191</v>
      </c>
      <c r="H176" s="35" t="s">
        <v>370</v>
      </c>
      <c r="I176" s="71"/>
      <c r="J176" s="35" t="s">
        <v>192</v>
      </c>
      <c r="K176" s="35" t="s">
        <v>325</v>
      </c>
      <c r="L176" s="34" t="s">
        <v>517</v>
      </c>
      <c r="M176" s="34" t="s">
        <v>503</v>
      </c>
      <c r="N176" s="35"/>
      <c r="O176" s="36"/>
      <c r="P176" s="64">
        <v>1</v>
      </c>
      <c r="Q176" s="38">
        <v>2</v>
      </c>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row>
    <row r="177" spans="2:68" ht="23.25" customHeight="1" x14ac:dyDescent="0.15">
      <c r="B177" s="33"/>
      <c r="C177" s="42" t="s">
        <v>437</v>
      </c>
      <c r="D177" s="40" t="s">
        <v>11</v>
      </c>
      <c r="E177" s="40" t="s">
        <v>76</v>
      </c>
      <c r="F177" s="41" t="s">
        <v>75</v>
      </c>
      <c r="G177" s="41" t="s">
        <v>191</v>
      </c>
      <c r="H177" s="35" t="s">
        <v>371</v>
      </c>
      <c r="I177" s="71"/>
      <c r="J177" s="35" t="s">
        <v>192</v>
      </c>
      <c r="K177" s="35" t="s">
        <v>325</v>
      </c>
      <c r="L177" s="34" t="s">
        <v>538</v>
      </c>
      <c r="M177" s="34" t="s">
        <v>537</v>
      </c>
      <c r="N177" s="35"/>
      <c r="O177" s="36"/>
      <c r="P177" s="37"/>
      <c r="Q177" s="38"/>
      <c r="R177" s="39"/>
      <c r="S177" s="39"/>
      <c r="T177" s="39"/>
      <c r="U177" s="39"/>
      <c r="V177" s="39"/>
      <c r="W177" s="39"/>
      <c r="X177" s="39"/>
      <c r="Y177" s="39"/>
      <c r="Z177" s="39"/>
      <c r="AA177" s="39"/>
      <c r="AB177" s="39"/>
      <c r="AC177" s="39"/>
      <c r="AD177" s="39">
        <v>4</v>
      </c>
      <c r="AE177" s="39">
        <v>4</v>
      </c>
      <c r="AF177" s="39">
        <v>4</v>
      </c>
      <c r="AG177" s="39">
        <v>4</v>
      </c>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v>4</v>
      </c>
      <c r="BE177" s="39">
        <v>4</v>
      </c>
      <c r="BF177" s="39">
        <v>4</v>
      </c>
      <c r="BG177" s="39">
        <v>4</v>
      </c>
      <c r="BH177" s="39"/>
      <c r="BI177" s="39"/>
      <c r="BJ177" s="39"/>
      <c r="BK177" s="39"/>
      <c r="BL177" s="39"/>
      <c r="BM177" s="39"/>
      <c r="BN177" s="39"/>
      <c r="BO177" s="39"/>
      <c r="BP177" s="39"/>
    </row>
    <row r="178" spans="2:68" ht="23.25" customHeight="1" x14ac:dyDescent="0.15">
      <c r="B178" s="33"/>
      <c r="C178" s="42" t="s">
        <v>438</v>
      </c>
      <c r="D178" s="40" t="s">
        <v>11</v>
      </c>
      <c r="E178" s="40" t="s">
        <v>76</v>
      </c>
      <c r="F178" s="41" t="s">
        <v>75</v>
      </c>
      <c r="G178" s="41" t="s">
        <v>191</v>
      </c>
      <c r="H178" s="35" t="s">
        <v>373</v>
      </c>
      <c r="I178" s="71"/>
      <c r="J178" s="35" t="s">
        <v>192</v>
      </c>
      <c r="K178" s="35" t="s">
        <v>327</v>
      </c>
      <c r="L178" s="34" t="s">
        <v>533</v>
      </c>
      <c r="M178" s="34" t="s">
        <v>537</v>
      </c>
      <c r="N178" s="35"/>
      <c r="O178" s="36"/>
      <c r="P178" s="37"/>
      <c r="Q178" s="38"/>
      <c r="R178" s="39"/>
      <c r="S178" s="39"/>
      <c r="T178" s="39"/>
      <c r="U178" s="39"/>
      <c r="V178" s="39"/>
      <c r="W178" s="39"/>
      <c r="X178" s="39"/>
      <c r="Y178" s="39"/>
      <c r="Z178" s="39"/>
      <c r="AA178" s="39"/>
      <c r="AB178" s="39"/>
      <c r="AC178" s="39"/>
      <c r="AD178" s="39"/>
      <c r="AE178" s="39"/>
      <c r="AF178" s="39"/>
      <c r="AG178" s="39">
        <v>5</v>
      </c>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v>5</v>
      </c>
      <c r="BH178" s="39"/>
      <c r="BI178" s="39"/>
      <c r="BJ178" s="39"/>
      <c r="BK178" s="39"/>
      <c r="BL178" s="39"/>
      <c r="BM178" s="39"/>
      <c r="BN178" s="39"/>
      <c r="BO178" s="39"/>
      <c r="BP178" s="39"/>
    </row>
    <row r="179" spans="2:68" s="52" customFormat="1" ht="23.25" customHeight="1" x14ac:dyDescent="0.15">
      <c r="B179" s="44"/>
      <c r="C179" s="53" t="s">
        <v>439</v>
      </c>
      <c r="D179" s="46" t="s">
        <v>11</v>
      </c>
      <c r="E179" s="46" t="s">
        <v>76</v>
      </c>
      <c r="F179" s="43" t="s">
        <v>75</v>
      </c>
      <c r="G179" s="43" t="s">
        <v>191</v>
      </c>
      <c r="H179" s="47" t="s">
        <v>329</v>
      </c>
      <c r="I179" s="74"/>
      <c r="J179" s="47" t="s">
        <v>192</v>
      </c>
      <c r="K179" s="47"/>
      <c r="L179" s="45"/>
      <c r="M179" s="45"/>
      <c r="N179" s="47"/>
      <c r="O179" s="48"/>
      <c r="P179" s="49"/>
      <c r="Q179" s="50"/>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row>
    <row r="180" spans="2:68" ht="23.25" customHeight="1" x14ac:dyDescent="0.15">
      <c r="B180" s="33"/>
      <c r="C180" s="42" t="s">
        <v>440</v>
      </c>
      <c r="D180" s="40" t="s">
        <v>11</v>
      </c>
      <c r="E180" s="40" t="s">
        <v>76</v>
      </c>
      <c r="F180" s="41" t="s">
        <v>75</v>
      </c>
      <c r="G180" s="41" t="s">
        <v>191</v>
      </c>
      <c r="H180" s="35" t="s">
        <v>374</v>
      </c>
      <c r="I180" s="71"/>
      <c r="J180" s="35" t="s">
        <v>192</v>
      </c>
      <c r="K180" s="35" t="s">
        <v>325</v>
      </c>
      <c r="L180" s="34" t="s">
        <v>517</v>
      </c>
      <c r="M180" s="34" t="s">
        <v>516</v>
      </c>
      <c r="N180" s="35"/>
      <c r="O180" s="36"/>
      <c r="P180" s="64">
        <v>1</v>
      </c>
      <c r="Q180" s="38">
        <v>2</v>
      </c>
      <c r="R180" s="39"/>
      <c r="S180" s="51"/>
      <c r="T180" s="39">
        <v>4</v>
      </c>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row>
    <row r="181" spans="2:68" ht="23.25" customHeight="1" x14ac:dyDescent="0.15">
      <c r="B181" s="33"/>
      <c r="C181" s="42" t="s">
        <v>441</v>
      </c>
      <c r="D181" s="40" t="s">
        <v>11</v>
      </c>
      <c r="E181" s="40" t="s">
        <v>76</v>
      </c>
      <c r="F181" s="41" t="s">
        <v>75</v>
      </c>
      <c r="G181" s="41" t="s">
        <v>191</v>
      </c>
      <c r="H181" s="35" t="s">
        <v>375</v>
      </c>
      <c r="I181" s="71"/>
      <c r="J181" s="35" t="s">
        <v>192</v>
      </c>
      <c r="K181" s="35" t="s">
        <v>327</v>
      </c>
      <c r="L181" s="34" t="s">
        <v>517</v>
      </c>
      <c r="M181" s="34" t="s">
        <v>503</v>
      </c>
      <c r="N181" s="35"/>
      <c r="O181" s="36"/>
      <c r="P181" s="64">
        <v>1</v>
      </c>
      <c r="Q181" s="38">
        <v>2</v>
      </c>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row>
    <row r="182" spans="2:68" ht="23.25" customHeight="1" x14ac:dyDescent="0.15">
      <c r="B182" s="33"/>
      <c r="C182" s="42" t="s">
        <v>442</v>
      </c>
      <c r="D182" s="40" t="s">
        <v>11</v>
      </c>
      <c r="E182" s="40" t="s">
        <v>76</v>
      </c>
      <c r="F182" s="41" t="s">
        <v>75</v>
      </c>
      <c r="G182" s="41" t="s">
        <v>191</v>
      </c>
      <c r="H182" s="35" t="s">
        <v>376</v>
      </c>
      <c r="I182" s="71"/>
      <c r="J182" s="35" t="s">
        <v>192</v>
      </c>
      <c r="K182" s="35" t="s">
        <v>327</v>
      </c>
      <c r="L182" s="34" t="s">
        <v>509</v>
      </c>
      <c r="M182" s="34" t="s">
        <v>504</v>
      </c>
      <c r="N182" s="35"/>
      <c r="O182" s="36"/>
      <c r="P182" s="37"/>
      <c r="Q182" s="38"/>
      <c r="R182" s="39"/>
      <c r="S182" s="39"/>
      <c r="T182" s="39"/>
      <c r="U182" s="39"/>
      <c r="V182" s="39"/>
      <c r="W182" s="39"/>
      <c r="X182" s="39"/>
      <c r="Y182" s="39"/>
      <c r="Z182" s="39">
        <v>4</v>
      </c>
      <c r="AA182" s="39">
        <v>5</v>
      </c>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row>
    <row r="183" spans="2:68" ht="21" x14ac:dyDescent="0.15">
      <c r="B183" s="33"/>
      <c r="C183" s="76" t="s">
        <v>47</v>
      </c>
      <c r="D183" s="40" t="s">
        <v>11</v>
      </c>
      <c r="E183" s="40" t="s">
        <v>76</v>
      </c>
      <c r="F183" s="41" t="s">
        <v>75</v>
      </c>
      <c r="G183" s="41" t="s">
        <v>378</v>
      </c>
      <c r="H183" s="41" t="s">
        <v>378</v>
      </c>
      <c r="I183" s="71" t="s">
        <v>392</v>
      </c>
      <c r="J183" s="35" t="s">
        <v>192</v>
      </c>
      <c r="K183" s="35"/>
      <c r="L183" s="34"/>
      <c r="M183" s="34"/>
      <c r="N183" s="35"/>
      <c r="O183" s="36"/>
      <c r="P183" s="37"/>
      <c r="Q183" s="38"/>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row>
    <row r="184" spans="2:68" s="52" customFormat="1" ht="23.25" customHeight="1" x14ac:dyDescent="0.15">
      <c r="B184" s="44"/>
      <c r="C184" s="53" t="s">
        <v>443</v>
      </c>
      <c r="D184" s="46" t="s">
        <v>11</v>
      </c>
      <c r="E184" s="46" t="s">
        <v>76</v>
      </c>
      <c r="F184" s="43" t="s">
        <v>75</v>
      </c>
      <c r="G184" s="43" t="s">
        <v>378</v>
      </c>
      <c r="H184" s="47" t="s">
        <v>379</v>
      </c>
      <c r="I184" s="74"/>
      <c r="J184" s="47" t="s">
        <v>192</v>
      </c>
      <c r="K184" s="47"/>
      <c r="L184" s="45"/>
      <c r="M184" s="45"/>
      <c r="N184" s="47"/>
      <c r="O184" s="48"/>
      <c r="P184" s="49"/>
      <c r="Q184" s="50"/>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row>
    <row r="185" spans="2:68" ht="23.25" customHeight="1" x14ac:dyDescent="0.15">
      <c r="B185" s="33"/>
      <c r="C185" s="42" t="s">
        <v>444</v>
      </c>
      <c r="D185" s="40" t="s">
        <v>11</v>
      </c>
      <c r="E185" s="40" t="s">
        <v>76</v>
      </c>
      <c r="F185" s="41" t="s">
        <v>75</v>
      </c>
      <c r="G185" s="41" t="s">
        <v>378</v>
      </c>
      <c r="H185" s="35" t="s">
        <v>380</v>
      </c>
      <c r="I185" s="71"/>
      <c r="J185" s="35" t="s">
        <v>192</v>
      </c>
      <c r="K185" s="35" t="s">
        <v>330</v>
      </c>
      <c r="L185" s="34" t="s">
        <v>503</v>
      </c>
      <c r="M185" s="34" t="s">
        <v>505</v>
      </c>
      <c r="N185" s="35" t="s">
        <v>500</v>
      </c>
      <c r="O185" s="36"/>
      <c r="P185" s="37"/>
      <c r="Q185" s="38">
        <v>1</v>
      </c>
      <c r="R185" s="38">
        <v>2</v>
      </c>
      <c r="S185" s="39">
        <v>3</v>
      </c>
      <c r="T185" s="39">
        <v>4</v>
      </c>
      <c r="U185" s="39">
        <v>4</v>
      </c>
      <c r="V185" s="39"/>
      <c r="W185" s="39"/>
      <c r="X185" s="39"/>
      <c r="Y185" s="39"/>
      <c r="Z185" s="39"/>
      <c r="AA185" s="39"/>
      <c r="AB185" s="39"/>
      <c r="AC185" s="39"/>
      <c r="AD185" s="39"/>
      <c r="AE185" s="39"/>
      <c r="AF185" s="39"/>
      <c r="AG185" s="39"/>
      <c r="AH185" s="39"/>
      <c r="AI185" s="39"/>
      <c r="AJ185" s="39"/>
      <c r="AK185" s="39"/>
      <c r="AL185" s="39">
        <v>4</v>
      </c>
      <c r="AM185" s="39">
        <v>4</v>
      </c>
      <c r="AN185" s="39">
        <v>4</v>
      </c>
      <c r="AO185" s="39">
        <v>4</v>
      </c>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row>
    <row r="186" spans="2:68" ht="23.25" customHeight="1" x14ac:dyDescent="0.15">
      <c r="B186" s="33"/>
      <c r="C186" s="42" t="s">
        <v>445</v>
      </c>
      <c r="D186" s="40" t="s">
        <v>11</v>
      </c>
      <c r="E186" s="40" t="s">
        <v>76</v>
      </c>
      <c r="F186" s="41" t="s">
        <v>75</v>
      </c>
      <c r="G186" s="41" t="s">
        <v>378</v>
      </c>
      <c r="H186" s="35" t="s">
        <v>381</v>
      </c>
      <c r="I186" s="71"/>
      <c r="J186" s="35" t="s">
        <v>192</v>
      </c>
      <c r="K186" s="35" t="s">
        <v>495</v>
      </c>
      <c r="L186" s="34" t="s">
        <v>503</v>
      </c>
      <c r="M186" s="34" t="s">
        <v>506</v>
      </c>
      <c r="N186" s="35"/>
      <c r="O186" s="36"/>
      <c r="P186" s="64">
        <v>1</v>
      </c>
      <c r="Q186" s="38">
        <v>2</v>
      </c>
      <c r="R186" s="39"/>
      <c r="S186" s="39">
        <v>4</v>
      </c>
      <c r="T186" s="39"/>
      <c r="U186" s="39"/>
      <c r="V186" s="39">
        <v>4</v>
      </c>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row>
    <row r="187" spans="2:68" ht="22.9" customHeight="1" x14ac:dyDescent="0.15">
      <c r="B187" s="33"/>
      <c r="C187" s="42" t="s">
        <v>446</v>
      </c>
      <c r="D187" s="40" t="s">
        <v>11</v>
      </c>
      <c r="E187" s="40" t="s">
        <v>76</v>
      </c>
      <c r="F187" s="41" t="s">
        <v>75</v>
      </c>
      <c r="G187" s="41" t="s">
        <v>378</v>
      </c>
      <c r="H187" s="35" t="s">
        <v>387</v>
      </c>
      <c r="I187" s="71"/>
      <c r="J187" s="35" t="s">
        <v>192</v>
      </c>
      <c r="K187" s="35" t="s">
        <v>501</v>
      </c>
      <c r="L187" s="34" t="s">
        <v>506</v>
      </c>
      <c r="M187" s="34" t="s">
        <v>509</v>
      </c>
      <c r="N187" s="35"/>
      <c r="O187" s="36"/>
      <c r="P187" s="37"/>
      <c r="Q187" s="38"/>
      <c r="R187" s="39"/>
      <c r="S187" s="39"/>
      <c r="T187" s="39"/>
      <c r="U187" s="39"/>
      <c r="V187" s="39"/>
      <c r="W187" s="39">
        <v>4</v>
      </c>
      <c r="X187" s="39">
        <v>4</v>
      </c>
      <c r="Y187" s="39">
        <v>4</v>
      </c>
      <c r="Z187" s="39">
        <v>4</v>
      </c>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row>
    <row r="188" spans="2:68" ht="22.9" customHeight="1" x14ac:dyDescent="0.15">
      <c r="B188" s="33"/>
      <c r="C188" s="42" t="s">
        <v>447</v>
      </c>
      <c r="D188" s="40" t="s">
        <v>11</v>
      </c>
      <c r="E188" s="40" t="s">
        <v>76</v>
      </c>
      <c r="F188" s="41" t="s">
        <v>75</v>
      </c>
      <c r="G188" s="41" t="s">
        <v>378</v>
      </c>
      <c r="H188" s="35" t="s">
        <v>388</v>
      </c>
      <c r="I188" s="71"/>
      <c r="J188" s="35" t="s">
        <v>192</v>
      </c>
      <c r="K188" s="35" t="s">
        <v>487</v>
      </c>
      <c r="L188" s="34" t="s">
        <v>511</v>
      </c>
      <c r="M188" s="34" t="s">
        <v>512</v>
      </c>
      <c r="N188" s="35"/>
      <c r="O188" s="36"/>
      <c r="P188" s="37"/>
      <c r="Q188" s="38"/>
      <c r="R188" s="39"/>
      <c r="S188" s="39"/>
      <c r="T188" s="39"/>
      <c r="U188" s="39"/>
      <c r="V188" s="39"/>
      <c r="W188" s="39"/>
      <c r="X188" s="39">
        <v>5</v>
      </c>
      <c r="Y188" s="39">
        <v>5</v>
      </c>
      <c r="Z188" s="39">
        <v>5</v>
      </c>
      <c r="AA188" s="39">
        <v>5</v>
      </c>
      <c r="AB188" s="39">
        <v>5</v>
      </c>
      <c r="AC188" s="39"/>
      <c r="AD188" s="39"/>
      <c r="AE188" s="39"/>
      <c r="AF188" s="39"/>
      <c r="AG188" s="39"/>
      <c r="AH188" s="39"/>
      <c r="AI188" s="39"/>
      <c r="AJ188" s="39"/>
      <c r="AK188" s="39"/>
      <c r="AL188" s="39"/>
      <c r="AM188" s="39"/>
      <c r="AN188" s="39"/>
      <c r="AO188" s="39"/>
      <c r="AP188" s="39">
        <v>5</v>
      </c>
      <c r="AQ188" s="39">
        <v>5</v>
      </c>
      <c r="AR188" s="39">
        <v>5</v>
      </c>
      <c r="AS188" s="39">
        <v>5</v>
      </c>
      <c r="AT188" s="39">
        <v>5</v>
      </c>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row>
    <row r="189" spans="2:68" s="52" customFormat="1" ht="22.9" customHeight="1" x14ac:dyDescent="0.15">
      <c r="B189" s="44"/>
      <c r="C189" s="53" t="s">
        <v>448</v>
      </c>
      <c r="D189" s="46" t="s">
        <v>11</v>
      </c>
      <c r="E189" s="46" t="s">
        <v>76</v>
      </c>
      <c r="F189" s="43" t="s">
        <v>75</v>
      </c>
      <c r="G189" s="43" t="s">
        <v>378</v>
      </c>
      <c r="H189" s="47" t="s">
        <v>385</v>
      </c>
      <c r="I189" s="74"/>
      <c r="J189" s="47" t="s">
        <v>192</v>
      </c>
      <c r="K189" s="47"/>
      <c r="L189" s="45"/>
      <c r="M189" s="45"/>
      <c r="N189" s="47"/>
      <c r="O189" s="48"/>
      <c r="P189" s="49"/>
      <c r="Q189" s="50"/>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row>
    <row r="190" spans="2:68" ht="22.9" customHeight="1" x14ac:dyDescent="0.15">
      <c r="B190" s="33"/>
      <c r="C190" s="42" t="s">
        <v>449</v>
      </c>
      <c r="D190" s="40" t="s">
        <v>11</v>
      </c>
      <c r="E190" s="40" t="s">
        <v>76</v>
      </c>
      <c r="F190" s="41" t="s">
        <v>75</v>
      </c>
      <c r="G190" s="41" t="s">
        <v>378</v>
      </c>
      <c r="H190" s="35" t="s">
        <v>389</v>
      </c>
      <c r="I190" s="71"/>
      <c r="J190" s="35" t="s">
        <v>192</v>
      </c>
      <c r="K190" s="35" t="s">
        <v>502</v>
      </c>
      <c r="L190" s="34" t="s">
        <v>503</v>
      </c>
      <c r="M190" s="34" t="s">
        <v>513</v>
      </c>
      <c r="N190" s="35"/>
      <c r="O190" s="36"/>
      <c r="P190" s="64">
        <v>1</v>
      </c>
      <c r="Q190" s="38">
        <v>2</v>
      </c>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row>
    <row r="191" spans="2:68" ht="22.9" customHeight="1" x14ac:dyDescent="0.15">
      <c r="B191" s="33"/>
      <c r="C191" s="42" t="s">
        <v>450</v>
      </c>
      <c r="D191" s="40" t="s">
        <v>11</v>
      </c>
      <c r="E191" s="40" t="s">
        <v>76</v>
      </c>
      <c r="F191" s="41" t="s">
        <v>75</v>
      </c>
      <c r="G191" s="41" t="s">
        <v>378</v>
      </c>
      <c r="H191" s="35" t="s">
        <v>384</v>
      </c>
      <c r="I191" s="71"/>
      <c r="J191" s="35" t="s">
        <v>192</v>
      </c>
      <c r="K191" s="35" t="s">
        <v>495</v>
      </c>
      <c r="L191" s="34" t="s">
        <v>503</v>
      </c>
      <c r="M191" s="34" t="s">
        <v>514</v>
      </c>
      <c r="N191" s="35"/>
      <c r="O191" s="36"/>
      <c r="P191" s="37"/>
      <c r="Q191" s="38"/>
      <c r="R191" s="39"/>
      <c r="S191" s="39">
        <v>3</v>
      </c>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row>
    <row r="192" spans="2:68" ht="36" customHeight="1" x14ac:dyDescent="0.15">
      <c r="B192" s="33"/>
      <c r="C192" s="42" t="s">
        <v>451</v>
      </c>
      <c r="D192" s="40" t="s">
        <v>11</v>
      </c>
      <c r="E192" s="40" t="s">
        <v>76</v>
      </c>
      <c r="F192" s="41" t="s">
        <v>75</v>
      </c>
      <c r="G192" s="41" t="s">
        <v>378</v>
      </c>
      <c r="H192" s="35" t="s">
        <v>390</v>
      </c>
      <c r="I192" s="71"/>
      <c r="J192" s="35" t="s">
        <v>192</v>
      </c>
      <c r="K192" s="35" t="s">
        <v>307</v>
      </c>
      <c r="L192" s="34" t="s">
        <v>514</v>
      </c>
      <c r="M192" s="34" t="s">
        <v>515</v>
      </c>
      <c r="N192" s="35"/>
      <c r="O192" s="36"/>
      <c r="P192" s="37"/>
      <c r="Q192" s="38"/>
      <c r="R192" s="39"/>
      <c r="S192" s="39"/>
      <c r="T192" s="39"/>
      <c r="U192" s="38">
        <v>4</v>
      </c>
      <c r="V192" s="39"/>
      <c r="W192" s="39"/>
      <c r="X192" s="39"/>
      <c r="Y192" s="39"/>
      <c r="Z192" s="39"/>
      <c r="AA192" s="39"/>
      <c r="AB192" s="39"/>
      <c r="AC192" s="39"/>
      <c r="AD192" s="39">
        <v>4</v>
      </c>
      <c r="AE192" s="39"/>
      <c r="AF192" s="39"/>
      <c r="AG192" s="39"/>
      <c r="AH192" s="39"/>
      <c r="AI192" s="39"/>
      <c r="AJ192" s="39"/>
      <c r="AK192" s="39"/>
      <c r="AL192" s="39"/>
      <c r="AM192" s="39">
        <v>4</v>
      </c>
      <c r="AN192" s="39"/>
      <c r="AO192" s="39"/>
      <c r="AP192" s="39"/>
      <c r="AQ192" s="39"/>
      <c r="AR192" s="39"/>
      <c r="AS192" s="39"/>
      <c r="AT192" s="39"/>
      <c r="AU192" s="39">
        <v>4</v>
      </c>
      <c r="AV192" s="39"/>
      <c r="AW192" s="39"/>
      <c r="AX192" s="39"/>
      <c r="AY192" s="39"/>
      <c r="AZ192" s="39"/>
      <c r="BA192" s="39"/>
      <c r="BB192" s="39"/>
      <c r="BC192" s="39"/>
      <c r="BD192" s="39">
        <v>4</v>
      </c>
      <c r="BE192" s="39"/>
      <c r="BF192" s="39"/>
      <c r="BG192" s="39"/>
      <c r="BH192" s="39"/>
      <c r="BI192" s="39"/>
      <c r="BJ192" s="39"/>
      <c r="BK192" s="39"/>
      <c r="BL192" s="39"/>
      <c r="BM192" s="39">
        <v>4</v>
      </c>
      <c r="BN192" s="39"/>
      <c r="BO192" s="39"/>
      <c r="BP192" s="39"/>
    </row>
    <row r="193" spans="2:68" ht="36" customHeight="1" x14ac:dyDescent="0.15">
      <c r="B193" s="33"/>
      <c r="C193" s="42" t="s">
        <v>452</v>
      </c>
      <c r="D193" s="40" t="s">
        <v>11</v>
      </c>
      <c r="E193" s="40" t="s">
        <v>76</v>
      </c>
      <c r="F193" s="41" t="s">
        <v>75</v>
      </c>
      <c r="G193" s="41" t="s">
        <v>378</v>
      </c>
      <c r="H193" s="35" t="s">
        <v>386</v>
      </c>
      <c r="I193" s="71"/>
      <c r="J193" s="35" t="s">
        <v>192</v>
      </c>
      <c r="K193" s="35" t="s">
        <v>487</v>
      </c>
      <c r="L193" s="34" t="s">
        <v>516</v>
      </c>
      <c r="M193" s="34" t="s">
        <v>517</v>
      </c>
      <c r="N193" s="35"/>
      <c r="O193" s="36"/>
      <c r="P193" s="37"/>
      <c r="Q193" s="38"/>
      <c r="R193" s="39"/>
      <c r="S193" s="39"/>
      <c r="T193" s="39"/>
      <c r="U193" s="39"/>
      <c r="V193" s="39">
        <v>5</v>
      </c>
      <c r="W193" s="39">
        <v>5</v>
      </c>
      <c r="X193" s="39">
        <v>5</v>
      </c>
      <c r="Y193" s="39">
        <v>5</v>
      </c>
      <c r="Z193" s="39"/>
      <c r="AA193" s="39"/>
      <c r="AB193" s="39"/>
      <c r="AC193" s="39"/>
      <c r="AD193" s="39"/>
      <c r="AE193" s="39">
        <v>5</v>
      </c>
      <c r="AF193" s="39">
        <v>5</v>
      </c>
      <c r="AG193" s="39">
        <v>5</v>
      </c>
      <c r="AH193" s="39">
        <v>5</v>
      </c>
      <c r="AI193" s="39"/>
      <c r="AJ193" s="39"/>
      <c r="AK193" s="39"/>
      <c r="AL193" s="39"/>
      <c r="AM193" s="39"/>
      <c r="AN193" s="39">
        <v>5</v>
      </c>
      <c r="AO193" s="39">
        <v>5</v>
      </c>
      <c r="AP193" s="39">
        <v>5</v>
      </c>
      <c r="AQ193" s="39">
        <v>5</v>
      </c>
      <c r="AR193" s="39"/>
      <c r="AS193" s="39"/>
      <c r="AT193" s="39"/>
      <c r="AU193" s="39"/>
      <c r="AV193" s="39">
        <v>5</v>
      </c>
      <c r="AW193" s="39">
        <v>5</v>
      </c>
      <c r="AX193" s="39">
        <v>5</v>
      </c>
      <c r="AY193" s="39">
        <v>5</v>
      </c>
      <c r="AZ193" s="39"/>
      <c r="BA193" s="39"/>
      <c r="BB193" s="39"/>
      <c r="BC193" s="39"/>
      <c r="BD193" s="39"/>
      <c r="BE193" s="39">
        <v>5</v>
      </c>
      <c r="BF193" s="39">
        <v>5</v>
      </c>
      <c r="BG193" s="39">
        <v>5</v>
      </c>
      <c r="BH193" s="39">
        <v>5</v>
      </c>
      <c r="BI193" s="39"/>
      <c r="BJ193" s="39"/>
      <c r="BK193" s="39"/>
      <c r="BL193" s="39"/>
      <c r="BM193" s="39"/>
      <c r="BN193" s="39">
        <v>5</v>
      </c>
      <c r="BO193" s="39">
        <v>5</v>
      </c>
      <c r="BP193" s="39">
        <v>5</v>
      </c>
    </row>
    <row r="194" spans="2:68" s="52" customFormat="1" ht="20.25" customHeight="1" x14ac:dyDescent="0.15">
      <c r="B194" s="44"/>
      <c r="C194" s="53" t="s">
        <v>453</v>
      </c>
      <c r="D194" s="46" t="s">
        <v>11</v>
      </c>
      <c r="E194" s="46" t="s">
        <v>76</v>
      </c>
      <c r="F194" s="43" t="s">
        <v>75</v>
      </c>
      <c r="G194" s="43" t="s">
        <v>378</v>
      </c>
      <c r="H194" s="47" t="s">
        <v>382</v>
      </c>
      <c r="I194" s="74"/>
      <c r="J194" s="47" t="s">
        <v>192</v>
      </c>
      <c r="K194" s="47"/>
      <c r="L194" s="45"/>
      <c r="M194" s="45"/>
      <c r="N194" s="47"/>
      <c r="O194" s="48"/>
      <c r="P194" s="49"/>
      <c r="Q194" s="50"/>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row>
    <row r="195" spans="2:68" ht="23.25" customHeight="1" x14ac:dyDescent="0.15">
      <c r="B195" s="33"/>
      <c r="C195" s="42" t="s">
        <v>454</v>
      </c>
      <c r="D195" s="40" t="s">
        <v>11</v>
      </c>
      <c r="E195" s="40" t="s">
        <v>76</v>
      </c>
      <c r="F195" s="41" t="s">
        <v>75</v>
      </c>
      <c r="G195" s="41" t="s">
        <v>378</v>
      </c>
      <c r="H195" s="35" t="s">
        <v>383</v>
      </c>
      <c r="I195" s="71"/>
      <c r="J195" s="35" t="s">
        <v>192</v>
      </c>
      <c r="K195" s="35" t="s">
        <v>487</v>
      </c>
      <c r="L195" s="34" t="s">
        <v>506</v>
      </c>
      <c r="M195" s="34" t="s">
        <v>504</v>
      </c>
      <c r="N195" s="35"/>
      <c r="O195" s="36"/>
      <c r="P195" s="37"/>
      <c r="Q195" s="38"/>
      <c r="R195" s="39"/>
      <c r="S195" s="39"/>
      <c r="T195" s="39"/>
      <c r="U195" s="39"/>
      <c r="V195" s="39">
        <v>1</v>
      </c>
      <c r="W195" s="39">
        <v>2</v>
      </c>
      <c r="X195" s="39"/>
      <c r="Y195" s="39"/>
      <c r="Z195" s="39"/>
      <c r="AA195" s="39">
        <v>3</v>
      </c>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row>
    <row r="196" spans="2:68" ht="23.25" customHeight="1" x14ac:dyDescent="0.15">
      <c r="B196" s="33"/>
      <c r="C196" s="42" t="s">
        <v>455</v>
      </c>
      <c r="D196" s="40" t="s">
        <v>11</v>
      </c>
      <c r="E196" s="40" t="s">
        <v>76</v>
      </c>
      <c r="F196" s="41" t="s">
        <v>75</v>
      </c>
      <c r="G196" s="41" t="s">
        <v>378</v>
      </c>
      <c r="H196" s="35" t="s">
        <v>391</v>
      </c>
      <c r="I196" s="71"/>
      <c r="J196" s="35" t="s">
        <v>192</v>
      </c>
      <c r="K196" s="35" t="s">
        <v>495</v>
      </c>
      <c r="L196" s="34" t="s">
        <v>518</v>
      </c>
      <c r="M196" s="34" t="s">
        <v>519</v>
      </c>
      <c r="N196" s="35"/>
      <c r="O196" s="36"/>
      <c r="P196" s="37"/>
      <c r="Q196" s="38"/>
      <c r="R196" s="39"/>
      <c r="S196" s="39"/>
      <c r="T196" s="39"/>
      <c r="U196" s="39"/>
      <c r="V196" s="39"/>
      <c r="W196" s="39"/>
      <c r="X196" s="39"/>
      <c r="Y196" s="39"/>
      <c r="Z196" s="39"/>
      <c r="AA196" s="39"/>
      <c r="AB196" s="39"/>
      <c r="AC196" s="39">
        <v>4</v>
      </c>
      <c r="AD196" s="39">
        <v>4</v>
      </c>
      <c r="AE196" s="39">
        <v>4</v>
      </c>
      <c r="AF196" s="39">
        <v>4</v>
      </c>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c r="BD196" s="39">
        <v>4</v>
      </c>
      <c r="BE196" s="39">
        <v>4</v>
      </c>
      <c r="BF196" s="39">
        <v>4</v>
      </c>
      <c r="BG196" s="39">
        <v>4</v>
      </c>
      <c r="BH196" s="39"/>
      <c r="BI196" s="39"/>
      <c r="BJ196" s="39"/>
      <c r="BK196" s="39"/>
      <c r="BL196" s="39"/>
      <c r="BM196" s="39"/>
      <c r="BN196" s="39"/>
      <c r="BO196" s="39"/>
      <c r="BP196" s="39"/>
    </row>
    <row r="197" spans="2:68" ht="23.25" customHeight="1" x14ac:dyDescent="0.15">
      <c r="B197" s="33"/>
      <c r="C197" s="42" t="s">
        <v>456</v>
      </c>
      <c r="D197" s="40" t="s">
        <v>11</v>
      </c>
      <c r="E197" s="40" t="s">
        <v>76</v>
      </c>
      <c r="F197" s="41" t="s">
        <v>75</v>
      </c>
      <c r="G197" s="41" t="s">
        <v>378</v>
      </c>
      <c r="H197" s="35" t="s">
        <v>326</v>
      </c>
      <c r="I197" s="71"/>
      <c r="J197" s="35" t="s">
        <v>192</v>
      </c>
      <c r="K197" s="35" t="s">
        <v>495</v>
      </c>
      <c r="L197" s="34" t="s">
        <v>518</v>
      </c>
      <c r="M197" s="34" t="s">
        <v>519</v>
      </c>
      <c r="N197" s="35"/>
      <c r="O197" s="36"/>
      <c r="P197" s="37"/>
      <c r="Q197" s="38"/>
      <c r="R197" s="39"/>
      <c r="S197" s="39"/>
      <c r="T197" s="39"/>
      <c r="U197" s="39"/>
      <c r="V197" s="39"/>
      <c r="W197" s="39"/>
      <c r="X197" s="39"/>
      <c r="Y197" s="39"/>
      <c r="Z197" s="39"/>
      <c r="AA197" s="39"/>
      <c r="AB197" s="39"/>
      <c r="AC197" s="39">
        <v>5</v>
      </c>
      <c r="AD197" s="39">
        <v>5</v>
      </c>
      <c r="AE197" s="39">
        <v>5</v>
      </c>
      <c r="AF197" s="39">
        <v>5</v>
      </c>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v>5</v>
      </c>
      <c r="BE197" s="39">
        <v>5</v>
      </c>
      <c r="BF197" s="39">
        <v>5</v>
      </c>
      <c r="BG197" s="39">
        <v>5</v>
      </c>
      <c r="BH197" s="39"/>
      <c r="BI197" s="39"/>
      <c r="BJ197" s="39"/>
      <c r="BK197" s="39"/>
      <c r="BL197" s="39"/>
      <c r="BM197" s="39"/>
      <c r="BN197" s="39"/>
      <c r="BO197" s="39"/>
      <c r="BP197" s="39"/>
    </row>
    <row r="198" spans="2:68" ht="23.25" customHeight="1" x14ac:dyDescent="0.15">
      <c r="B198" s="33"/>
      <c r="C198" s="42" t="s">
        <v>457</v>
      </c>
      <c r="D198" s="40" t="s">
        <v>11</v>
      </c>
      <c r="E198" s="40" t="s">
        <v>76</v>
      </c>
      <c r="F198" s="41" t="s">
        <v>75</v>
      </c>
      <c r="G198" s="41" t="s">
        <v>378</v>
      </c>
      <c r="H198" s="35" t="s">
        <v>328</v>
      </c>
      <c r="I198" s="71"/>
      <c r="J198" s="35" t="s">
        <v>192</v>
      </c>
      <c r="K198" s="35" t="s">
        <v>495</v>
      </c>
      <c r="L198" s="34" t="s">
        <v>507</v>
      </c>
      <c r="M198" s="34" t="s">
        <v>519</v>
      </c>
      <c r="N198" s="35"/>
      <c r="O198" s="36"/>
      <c r="P198" s="37"/>
      <c r="Q198" s="38"/>
      <c r="R198" s="39"/>
      <c r="S198" s="39"/>
      <c r="T198" s="39"/>
      <c r="U198" s="39"/>
      <c r="V198" s="39"/>
      <c r="W198" s="39"/>
      <c r="X198" s="39"/>
      <c r="Y198" s="39"/>
      <c r="Z198" s="39"/>
      <c r="AA198" s="39"/>
      <c r="AB198" s="39"/>
      <c r="AC198" s="39"/>
      <c r="AD198" s="39"/>
      <c r="AE198" s="39"/>
      <c r="AF198" s="39">
        <v>5</v>
      </c>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v>5</v>
      </c>
      <c r="BH198" s="39"/>
      <c r="BI198" s="39"/>
      <c r="BJ198" s="39"/>
      <c r="BK198" s="39"/>
      <c r="BL198" s="39"/>
      <c r="BM198" s="39"/>
      <c r="BN198" s="39"/>
      <c r="BO198" s="39"/>
      <c r="BP198" s="39"/>
    </row>
    <row r="199" spans="2:68" ht="23.25" hidden="1" customHeight="1" x14ac:dyDescent="0.15">
      <c r="B199" s="33"/>
      <c r="C199" s="34"/>
      <c r="D199" s="40"/>
      <c r="E199" s="40"/>
      <c r="F199" s="41"/>
      <c r="G199" s="41"/>
      <c r="H199" s="35"/>
      <c r="I199" s="71"/>
      <c r="J199" s="35"/>
      <c r="K199" s="35"/>
      <c r="L199" s="34"/>
      <c r="M199" s="34"/>
      <c r="N199" s="35"/>
      <c r="O199" s="36"/>
      <c r="P199" s="37"/>
      <c r="Q199" s="38"/>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row>
    <row r="200" spans="2:68" ht="23.25" hidden="1" customHeight="1" x14ac:dyDescent="0.15">
      <c r="B200" s="33"/>
      <c r="C200" s="34"/>
      <c r="D200" s="40"/>
      <c r="E200" s="40"/>
      <c r="F200" s="41"/>
      <c r="G200" s="41"/>
      <c r="H200" s="35"/>
      <c r="I200" s="71"/>
      <c r="J200" s="35"/>
      <c r="K200" s="35"/>
      <c r="L200" s="34"/>
      <c r="M200" s="34"/>
      <c r="N200" s="35"/>
      <c r="O200" s="36"/>
      <c r="P200" s="37"/>
      <c r="Q200" s="38"/>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row>
    <row r="201" spans="2:68" ht="23.25" hidden="1" customHeight="1" x14ac:dyDescent="0.15">
      <c r="B201" s="33"/>
      <c r="C201" s="34"/>
      <c r="D201" s="40"/>
      <c r="E201" s="40"/>
      <c r="F201" s="41"/>
      <c r="G201" s="41"/>
      <c r="H201" s="35"/>
      <c r="I201" s="71"/>
      <c r="J201" s="35"/>
      <c r="K201" s="35"/>
      <c r="L201" s="34"/>
      <c r="M201" s="34"/>
      <c r="N201" s="35"/>
      <c r="O201" s="36"/>
      <c r="P201" s="37"/>
      <c r="Q201" s="38"/>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row>
    <row r="202" spans="2:68" ht="23.25" hidden="1" customHeight="1" x14ac:dyDescent="0.15">
      <c r="B202" s="33"/>
      <c r="C202" s="34"/>
      <c r="D202" s="40"/>
      <c r="E202" s="40"/>
      <c r="F202" s="41"/>
      <c r="G202" s="41"/>
      <c r="H202" s="35"/>
      <c r="I202" s="71"/>
      <c r="J202" s="35"/>
      <c r="K202" s="35"/>
      <c r="L202" s="34"/>
      <c r="M202" s="34"/>
      <c r="N202" s="35"/>
      <c r="O202" s="36"/>
      <c r="P202" s="37"/>
      <c r="Q202" s="38"/>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row>
    <row r="203" spans="2:68" ht="23.25" hidden="1" customHeight="1" x14ac:dyDescent="0.15">
      <c r="B203" s="33"/>
      <c r="C203" s="34"/>
      <c r="D203" s="40"/>
      <c r="E203" s="40"/>
      <c r="F203" s="41"/>
      <c r="G203" s="41"/>
      <c r="H203" s="35"/>
      <c r="I203" s="71"/>
      <c r="J203" s="35"/>
      <c r="K203" s="35"/>
      <c r="L203" s="34"/>
      <c r="M203" s="34"/>
      <c r="N203" s="35"/>
      <c r="O203" s="36"/>
      <c r="P203" s="37"/>
      <c r="Q203" s="38"/>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row>
    <row r="204" spans="2:68" ht="23.25" hidden="1" customHeight="1" x14ac:dyDescent="0.15">
      <c r="B204" s="33"/>
      <c r="C204" s="34"/>
      <c r="D204" s="40"/>
      <c r="E204" s="40"/>
      <c r="F204" s="41"/>
      <c r="G204" s="41"/>
      <c r="H204" s="35"/>
      <c r="I204" s="71"/>
      <c r="J204" s="35"/>
      <c r="K204" s="35"/>
      <c r="L204" s="34"/>
      <c r="M204" s="34"/>
      <c r="N204" s="35"/>
      <c r="O204" s="36"/>
      <c r="P204" s="37"/>
      <c r="Q204" s="38"/>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row>
    <row r="205" spans="2:68" ht="23.25" hidden="1" customHeight="1" x14ac:dyDescent="0.15">
      <c r="B205" s="33"/>
      <c r="C205" s="34"/>
      <c r="D205" s="40"/>
      <c r="E205" s="40"/>
      <c r="F205" s="41"/>
      <c r="G205" s="41"/>
      <c r="H205" s="35"/>
      <c r="I205" s="71"/>
      <c r="J205" s="35"/>
      <c r="K205" s="35"/>
      <c r="L205" s="34"/>
      <c r="M205" s="34"/>
      <c r="N205" s="35"/>
      <c r="O205" s="36"/>
      <c r="P205" s="37"/>
      <c r="Q205" s="38"/>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row>
    <row r="206" spans="2:68" ht="23.25" hidden="1" customHeight="1" x14ac:dyDescent="0.15">
      <c r="B206" s="33"/>
      <c r="C206" s="34"/>
      <c r="D206" s="40"/>
      <c r="E206" s="40"/>
      <c r="F206" s="41"/>
      <c r="G206" s="41"/>
      <c r="H206" s="35"/>
      <c r="I206" s="71"/>
      <c r="J206" s="35"/>
      <c r="K206" s="35"/>
      <c r="L206" s="34"/>
      <c r="M206" s="34"/>
      <c r="N206" s="35"/>
      <c r="O206" s="36"/>
      <c r="P206" s="37"/>
      <c r="Q206" s="38"/>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row>
    <row r="207" spans="2:68" ht="23.25" hidden="1" customHeight="1" x14ac:dyDescent="0.15">
      <c r="B207" s="33"/>
      <c r="C207" s="34"/>
      <c r="D207" s="40"/>
      <c r="E207" s="40"/>
      <c r="F207" s="41"/>
      <c r="G207" s="41"/>
      <c r="H207" s="35"/>
      <c r="I207" s="71"/>
      <c r="J207" s="35"/>
      <c r="K207" s="35"/>
      <c r="L207" s="34"/>
      <c r="M207" s="34"/>
      <c r="N207" s="35"/>
      <c r="O207" s="36"/>
      <c r="P207" s="37"/>
      <c r="Q207" s="38"/>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row>
    <row r="208" spans="2:68" ht="23.25" hidden="1" customHeight="1" x14ac:dyDescent="0.15">
      <c r="B208" s="33"/>
      <c r="C208" s="34"/>
      <c r="D208" s="40"/>
      <c r="E208" s="40"/>
      <c r="F208" s="41"/>
      <c r="G208" s="41"/>
      <c r="H208" s="35"/>
      <c r="I208" s="71"/>
      <c r="J208" s="35"/>
      <c r="K208" s="35"/>
      <c r="L208" s="34"/>
      <c r="M208" s="34"/>
      <c r="N208" s="35"/>
      <c r="O208" s="36"/>
      <c r="P208" s="37"/>
      <c r="Q208" s="38"/>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row>
    <row r="209" spans="2:68" ht="23.25" hidden="1" customHeight="1" x14ac:dyDescent="0.15">
      <c r="B209" s="33"/>
      <c r="C209" s="34"/>
      <c r="D209" s="40"/>
      <c r="E209" s="40"/>
      <c r="F209" s="41"/>
      <c r="G209" s="41"/>
      <c r="H209" s="35"/>
      <c r="I209" s="71"/>
      <c r="J209" s="35"/>
      <c r="K209" s="35"/>
      <c r="L209" s="34"/>
      <c r="M209" s="34"/>
      <c r="N209" s="35"/>
      <c r="O209" s="36"/>
      <c r="P209" s="37"/>
      <c r="Q209" s="38"/>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row>
    <row r="210" spans="2:68" ht="23.25" hidden="1" customHeight="1" x14ac:dyDescent="0.15">
      <c r="B210" s="33"/>
      <c r="C210" s="34"/>
      <c r="D210" s="40"/>
      <c r="E210" s="40"/>
      <c r="F210" s="41"/>
      <c r="G210" s="41"/>
      <c r="H210" s="35"/>
      <c r="I210" s="71"/>
      <c r="J210" s="35"/>
      <c r="K210" s="35"/>
      <c r="L210" s="34"/>
      <c r="M210" s="34"/>
      <c r="N210" s="35"/>
      <c r="O210" s="36"/>
      <c r="P210" s="37"/>
      <c r="Q210" s="38"/>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row>
    <row r="211" spans="2:68" ht="23.25" hidden="1" customHeight="1" x14ac:dyDescent="0.15">
      <c r="B211" s="33"/>
      <c r="C211" s="34"/>
      <c r="D211" s="40"/>
      <c r="E211" s="40"/>
      <c r="F211" s="41"/>
      <c r="G211" s="41"/>
      <c r="H211" s="35"/>
      <c r="I211" s="71"/>
      <c r="J211" s="35"/>
      <c r="K211" s="35"/>
      <c r="L211" s="34"/>
      <c r="M211" s="34"/>
      <c r="N211" s="35"/>
      <c r="O211" s="36"/>
      <c r="P211" s="37"/>
      <c r="Q211" s="38"/>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row>
    <row r="212" spans="2:68" ht="23.25" hidden="1" customHeight="1" x14ac:dyDescent="0.15">
      <c r="B212" s="33"/>
      <c r="C212" s="34"/>
      <c r="D212" s="40"/>
      <c r="E212" s="40"/>
      <c r="F212" s="41"/>
      <c r="G212" s="41"/>
      <c r="H212" s="35"/>
      <c r="I212" s="71"/>
      <c r="J212" s="35"/>
      <c r="K212" s="35"/>
      <c r="L212" s="34"/>
      <c r="M212" s="34"/>
      <c r="N212" s="35"/>
      <c r="O212" s="36"/>
      <c r="P212" s="37"/>
      <c r="Q212" s="38"/>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row>
    <row r="213" spans="2:68" ht="23.25" hidden="1" customHeight="1" x14ac:dyDescent="0.15">
      <c r="B213" s="33"/>
      <c r="C213" s="34"/>
      <c r="D213" s="40"/>
      <c r="E213" s="40"/>
      <c r="F213" s="41"/>
      <c r="G213" s="41"/>
      <c r="H213" s="35"/>
      <c r="I213" s="71"/>
      <c r="J213" s="35"/>
      <c r="K213" s="35"/>
      <c r="L213" s="34"/>
      <c r="M213" s="34"/>
      <c r="N213" s="35"/>
      <c r="O213" s="36"/>
      <c r="P213" s="37"/>
      <c r="Q213" s="38"/>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row>
    <row r="214" spans="2:68" ht="23.25" hidden="1" customHeight="1" x14ac:dyDescent="0.15">
      <c r="B214" s="33"/>
      <c r="C214" s="34"/>
      <c r="D214" s="40"/>
      <c r="E214" s="40"/>
      <c r="F214" s="41"/>
      <c r="G214" s="41"/>
      <c r="H214" s="35"/>
      <c r="I214" s="71"/>
      <c r="J214" s="35"/>
      <c r="K214" s="35"/>
      <c r="L214" s="34"/>
      <c r="M214" s="34"/>
      <c r="N214" s="35"/>
      <c r="O214" s="36"/>
      <c r="P214" s="37"/>
      <c r="Q214" s="38"/>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row>
    <row r="215" spans="2:68" ht="23.25" hidden="1" customHeight="1" x14ac:dyDescent="0.15">
      <c r="B215" s="33"/>
      <c r="C215" s="34"/>
      <c r="D215" s="40"/>
      <c r="E215" s="40"/>
      <c r="F215" s="41"/>
      <c r="G215" s="41"/>
      <c r="H215" s="35"/>
      <c r="I215" s="71"/>
      <c r="J215" s="35"/>
      <c r="K215" s="35"/>
      <c r="L215" s="34"/>
      <c r="M215" s="34"/>
      <c r="N215" s="35"/>
      <c r="O215" s="36"/>
      <c r="P215" s="37"/>
      <c r="Q215" s="38"/>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row>
    <row r="216" spans="2:68" ht="23.25" hidden="1" customHeight="1" x14ac:dyDescent="0.15">
      <c r="B216" s="33"/>
      <c r="C216" s="34"/>
      <c r="D216" s="40"/>
      <c r="E216" s="40"/>
      <c r="F216" s="41"/>
      <c r="G216" s="41"/>
      <c r="H216" s="35"/>
      <c r="I216" s="71"/>
      <c r="J216" s="35"/>
      <c r="K216" s="35"/>
      <c r="L216" s="34"/>
      <c r="M216" s="34"/>
      <c r="N216" s="35"/>
      <c r="O216" s="36"/>
      <c r="P216" s="37"/>
      <c r="Q216" s="38"/>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row>
    <row r="217" spans="2:68" ht="23.25" hidden="1" customHeight="1" x14ac:dyDescent="0.15">
      <c r="B217" s="33"/>
      <c r="C217" s="34"/>
      <c r="D217" s="40"/>
      <c r="E217" s="40"/>
      <c r="F217" s="41"/>
      <c r="G217" s="41"/>
      <c r="H217" s="35"/>
      <c r="I217" s="71"/>
      <c r="J217" s="35"/>
      <c r="K217" s="35"/>
      <c r="L217" s="34"/>
      <c r="M217" s="34"/>
      <c r="N217" s="35"/>
      <c r="O217" s="36"/>
      <c r="P217" s="37"/>
      <c r="Q217" s="38"/>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row>
    <row r="218" spans="2:68" ht="23.25" hidden="1" customHeight="1" x14ac:dyDescent="0.15">
      <c r="B218" s="33"/>
      <c r="C218" s="34"/>
      <c r="D218" s="40"/>
      <c r="E218" s="40"/>
      <c r="F218" s="41"/>
      <c r="G218" s="41"/>
      <c r="H218" s="35"/>
      <c r="I218" s="71"/>
      <c r="J218" s="35"/>
      <c r="K218" s="35"/>
      <c r="L218" s="34"/>
      <c r="M218" s="34"/>
      <c r="N218" s="35"/>
      <c r="O218" s="36"/>
      <c r="P218" s="37"/>
      <c r="Q218" s="38"/>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row>
    <row r="219" spans="2:68" ht="23.25" hidden="1" customHeight="1" x14ac:dyDescent="0.15">
      <c r="B219" s="33"/>
      <c r="C219" s="34"/>
      <c r="D219" s="40"/>
      <c r="E219" s="40"/>
      <c r="F219" s="41"/>
      <c r="G219" s="41"/>
      <c r="H219" s="35"/>
      <c r="I219" s="71"/>
      <c r="J219" s="35"/>
      <c r="K219" s="35"/>
      <c r="L219" s="34"/>
      <c r="M219" s="34"/>
      <c r="N219" s="35"/>
      <c r="O219" s="36"/>
      <c r="P219" s="37"/>
      <c r="Q219" s="38"/>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row>
    <row r="220" spans="2:68" ht="23.25" hidden="1" customHeight="1" x14ac:dyDescent="0.15">
      <c r="B220" s="33"/>
      <c r="C220" s="34"/>
      <c r="D220" s="40"/>
      <c r="E220" s="40"/>
      <c r="F220" s="41"/>
      <c r="G220" s="41"/>
      <c r="H220" s="35"/>
      <c r="I220" s="71"/>
      <c r="J220" s="35"/>
      <c r="K220" s="35"/>
      <c r="L220" s="34"/>
      <c r="M220" s="34"/>
      <c r="N220" s="35"/>
      <c r="O220" s="36"/>
      <c r="P220" s="37"/>
      <c r="Q220" s="38"/>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row>
    <row r="221" spans="2:68" ht="23.25" hidden="1" customHeight="1" x14ac:dyDescent="0.15">
      <c r="B221" s="33"/>
      <c r="C221" s="34"/>
      <c r="D221" s="40"/>
      <c r="E221" s="40"/>
      <c r="F221" s="41"/>
      <c r="G221" s="41"/>
      <c r="H221" s="35"/>
      <c r="I221" s="71"/>
      <c r="J221" s="35"/>
      <c r="K221" s="35"/>
      <c r="L221" s="34"/>
      <c r="M221" s="34"/>
      <c r="N221" s="35"/>
      <c r="O221" s="36"/>
      <c r="P221" s="37"/>
      <c r="Q221" s="38"/>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row>
    <row r="222" spans="2:68" ht="23.25" hidden="1" customHeight="1" x14ac:dyDescent="0.15">
      <c r="B222" s="33"/>
      <c r="C222" s="34"/>
      <c r="D222" s="40"/>
      <c r="E222" s="40"/>
      <c r="F222" s="41"/>
      <c r="G222" s="41"/>
      <c r="H222" s="35"/>
      <c r="I222" s="71"/>
      <c r="J222" s="35"/>
      <c r="K222" s="35"/>
      <c r="L222" s="34"/>
      <c r="M222" s="34"/>
      <c r="N222" s="35"/>
      <c r="O222" s="36"/>
      <c r="P222" s="37"/>
      <c r="Q222" s="38"/>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row>
    <row r="223" spans="2:68" ht="23.25" hidden="1" customHeight="1" x14ac:dyDescent="0.15">
      <c r="B223" s="33"/>
      <c r="C223" s="34"/>
      <c r="D223" s="40"/>
      <c r="E223" s="40"/>
      <c r="F223" s="41"/>
      <c r="G223" s="41"/>
      <c r="H223" s="35"/>
      <c r="I223" s="71"/>
      <c r="J223" s="35"/>
      <c r="K223" s="35"/>
      <c r="L223" s="34"/>
      <c r="M223" s="34"/>
      <c r="N223" s="35"/>
      <c r="O223" s="36"/>
      <c r="P223" s="37"/>
      <c r="Q223" s="38"/>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row>
    <row r="224" spans="2:68" ht="23.25" hidden="1" customHeight="1" x14ac:dyDescent="0.15">
      <c r="B224" s="33"/>
      <c r="C224" s="34"/>
      <c r="D224" s="40"/>
      <c r="E224" s="40"/>
      <c r="F224" s="41"/>
      <c r="G224" s="41"/>
      <c r="H224" s="35"/>
      <c r="I224" s="71"/>
      <c r="J224" s="35"/>
      <c r="K224" s="35"/>
      <c r="L224" s="34"/>
      <c r="M224" s="34"/>
      <c r="N224" s="35"/>
      <c r="O224" s="36"/>
      <c r="P224" s="37"/>
      <c r="Q224" s="38"/>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row>
    <row r="225" spans="2:68" ht="23.25" hidden="1" customHeight="1" x14ac:dyDescent="0.15">
      <c r="B225" s="33"/>
      <c r="C225" s="34"/>
      <c r="D225" s="40"/>
      <c r="E225" s="40"/>
      <c r="F225" s="41"/>
      <c r="G225" s="41"/>
      <c r="H225" s="35"/>
      <c r="I225" s="71"/>
      <c r="J225" s="35"/>
      <c r="K225" s="35"/>
      <c r="L225" s="34"/>
      <c r="M225" s="34"/>
      <c r="N225" s="35"/>
      <c r="O225" s="36"/>
      <c r="P225" s="37"/>
      <c r="Q225" s="38"/>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row>
    <row r="226" spans="2:68" ht="23.25" hidden="1" customHeight="1" x14ac:dyDescent="0.15">
      <c r="B226" s="33"/>
      <c r="C226" s="34"/>
      <c r="D226" s="40"/>
      <c r="E226" s="40"/>
      <c r="F226" s="41"/>
      <c r="G226" s="41"/>
      <c r="H226" s="35"/>
      <c r="I226" s="71"/>
      <c r="J226" s="35"/>
      <c r="K226" s="35"/>
      <c r="L226" s="34"/>
      <c r="M226" s="34"/>
      <c r="N226" s="35"/>
      <c r="O226" s="36"/>
      <c r="P226" s="37"/>
      <c r="Q226" s="38"/>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row>
    <row r="227" spans="2:68" ht="23.25" hidden="1" customHeight="1" x14ac:dyDescent="0.15">
      <c r="B227" s="33"/>
      <c r="C227" s="34"/>
      <c r="D227" s="40"/>
      <c r="E227" s="40"/>
      <c r="F227" s="41"/>
      <c r="G227" s="41"/>
      <c r="H227" s="35"/>
      <c r="I227" s="71"/>
      <c r="J227" s="35"/>
      <c r="K227" s="35"/>
      <c r="L227" s="34"/>
      <c r="M227" s="34"/>
      <c r="N227" s="35"/>
      <c r="O227" s="36"/>
      <c r="P227" s="37"/>
      <c r="Q227" s="38"/>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row>
    <row r="228" spans="2:68" ht="23.25" hidden="1" customHeight="1" x14ac:dyDescent="0.15">
      <c r="B228" s="33"/>
      <c r="C228" s="34"/>
      <c r="D228" s="40"/>
      <c r="E228" s="40"/>
      <c r="F228" s="41"/>
      <c r="G228" s="41"/>
      <c r="H228" s="35"/>
      <c r="I228" s="71"/>
      <c r="J228" s="35"/>
      <c r="K228" s="35"/>
      <c r="L228" s="34"/>
      <c r="M228" s="34"/>
      <c r="N228" s="35"/>
      <c r="O228" s="36"/>
      <c r="P228" s="37"/>
      <c r="Q228" s="38"/>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row>
    <row r="229" spans="2:68" ht="23.25" hidden="1" customHeight="1" x14ac:dyDescent="0.15">
      <c r="B229" s="33"/>
      <c r="C229" s="34"/>
      <c r="D229" s="40"/>
      <c r="E229" s="40"/>
      <c r="F229" s="41"/>
      <c r="G229" s="41"/>
      <c r="H229" s="35"/>
      <c r="I229" s="71"/>
      <c r="J229" s="35"/>
      <c r="K229" s="35"/>
      <c r="L229" s="34"/>
      <c r="M229" s="34"/>
      <c r="N229" s="35"/>
      <c r="O229" s="36"/>
      <c r="P229" s="37"/>
      <c r="Q229" s="38"/>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row>
    <row r="230" spans="2:68" ht="23.25" hidden="1" customHeight="1" x14ac:dyDescent="0.15">
      <c r="B230" s="33"/>
      <c r="C230" s="34"/>
      <c r="D230" s="40"/>
      <c r="E230" s="40"/>
      <c r="F230" s="41"/>
      <c r="G230" s="41"/>
      <c r="H230" s="35"/>
      <c r="I230" s="71"/>
      <c r="J230" s="35"/>
      <c r="K230" s="35"/>
      <c r="L230" s="34"/>
      <c r="M230" s="34"/>
      <c r="N230" s="35"/>
      <c r="O230" s="36"/>
      <c r="P230" s="37"/>
      <c r="Q230" s="38"/>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row>
    <row r="231" spans="2:68" ht="23.25" hidden="1" customHeight="1" x14ac:dyDescent="0.15">
      <c r="B231" s="33"/>
      <c r="C231" s="34"/>
      <c r="D231" s="40"/>
      <c r="E231" s="40"/>
      <c r="F231" s="41"/>
      <c r="G231" s="41"/>
      <c r="H231" s="35"/>
      <c r="I231" s="71"/>
      <c r="J231" s="35"/>
      <c r="K231" s="35"/>
      <c r="L231" s="34"/>
      <c r="M231" s="34"/>
      <c r="N231" s="35"/>
      <c r="O231" s="36"/>
      <c r="P231" s="37"/>
      <c r="Q231" s="38"/>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row>
    <row r="232" spans="2:68" ht="23.25" hidden="1" customHeight="1" x14ac:dyDescent="0.15">
      <c r="B232" s="33"/>
      <c r="C232" s="34"/>
      <c r="D232" s="40"/>
      <c r="E232" s="40"/>
      <c r="F232" s="41"/>
      <c r="G232" s="41"/>
      <c r="H232" s="35"/>
      <c r="I232" s="71"/>
      <c r="J232" s="35"/>
      <c r="K232" s="35"/>
      <c r="L232" s="34"/>
      <c r="M232" s="34"/>
      <c r="N232" s="35"/>
      <c r="O232" s="36"/>
      <c r="P232" s="37"/>
      <c r="Q232" s="38"/>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row>
    <row r="233" spans="2:68" ht="23.25" hidden="1" customHeight="1" x14ac:dyDescent="0.15">
      <c r="B233" s="33"/>
      <c r="C233" s="34"/>
      <c r="D233" s="40"/>
      <c r="E233" s="40"/>
      <c r="F233" s="41"/>
      <c r="G233" s="41"/>
      <c r="H233" s="35"/>
      <c r="I233" s="71"/>
      <c r="J233" s="35"/>
      <c r="K233" s="35"/>
      <c r="L233" s="34"/>
      <c r="M233" s="34"/>
      <c r="N233" s="35"/>
      <c r="O233" s="36"/>
      <c r="P233" s="37"/>
      <c r="Q233" s="38"/>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row>
    <row r="234" spans="2:68" ht="23.25" hidden="1" customHeight="1" x14ac:dyDescent="0.15">
      <c r="B234" s="33"/>
      <c r="C234" s="34"/>
      <c r="D234" s="40"/>
      <c r="E234" s="40"/>
      <c r="F234" s="41"/>
      <c r="G234" s="41"/>
      <c r="H234" s="35"/>
      <c r="I234" s="71"/>
      <c r="J234" s="35"/>
      <c r="K234" s="35"/>
      <c r="L234" s="34"/>
      <c r="M234" s="34"/>
      <c r="N234" s="35"/>
      <c r="O234" s="36"/>
      <c r="P234" s="37"/>
      <c r="Q234" s="38"/>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row>
    <row r="235" spans="2:68" ht="23.25" hidden="1" customHeight="1" x14ac:dyDescent="0.15">
      <c r="B235" s="33"/>
      <c r="C235" s="34"/>
      <c r="D235" s="40"/>
      <c r="E235" s="40"/>
      <c r="F235" s="41"/>
      <c r="G235" s="41"/>
      <c r="H235" s="35"/>
      <c r="I235" s="71"/>
      <c r="J235" s="35"/>
      <c r="K235" s="35"/>
      <c r="L235" s="34"/>
      <c r="M235" s="34"/>
      <c r="N235" s="35"/>
      <c r="O235" s="36"/>
      <c r="P235" s="37"/>
      <c r="Q235" s="38"/>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row>
    <row r="236" spans="2:68" ht="23.25" hidden="1" customHeight="1" x14ac:dyDescent="0.15">
      <c r="B236" s="33"/>
      <c r="C236" s="34"/>
      <c r="D236" s="40"/>
      <c r="E236" s="40"/>
      <c r="F236" s="41"/>
      <c r="G236" s="41"/>
      <c r="H236" s="35"/>
      <c r="I236" s="71"/>
      <c r="J236" s="35"/>
      <c r="K236" s="35"/>
      <c r="L236" s="34"/>
      <c r="M236" s="34"/>
      <c r="N236" s="35"/>
      <c r="O236" s="36"/>
      <c r="P236" s="37"/>
      <c r="Q236" s="38"/>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row>
    <row r="237" spans="2:68" ht="23.25" hidden="1" customHeight="1" x14ac:dyDescent="0.15">
      <c r="B237" s="33"/>
      <c r="C237" s="34"/>
      <c r="D237" s="40"/>
      <c r="E237" s="40"/>
      <c r="F237" s="41"/>
      <c r="G237" s="41"/>
      <c r="H237" s="35"/>
      <c r="I237" s="71"/>
      <c r="J237" s="35"/>
      <c r="K237" s="35"/>
      <c r="L237" s="34"/>
      <c r="M237" s="34"/>
      <c r="N237" s="35"/>
      <c r="O237" s="36"/>
      <c r="P237" s="37"/>
      <c r="Q237" s="38"/>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row>
    <row r="238" spans="2:68" ht="23.25" hidden="1" customHeight="1" x14ac:dyDescent="0.15">
      <c r="B238" s="33"/>
      <c r="C238" s="34"/>
      <c r="D238" s="40"/>
      <c r="E238" s="40"/>
      <c r="F238" s="41"/>
      <c r="G238" s="41"/>
      <c r="H238" s="35"/>
      <c r="I238" s="71"/>
      <c r="J238" s="35"/>
      <c r="K238" s="35"/>
      <c r="L238" s="34"/>
      <c r="M238" s="34"/>
      <c r="N238" s="35"/>
      <c r="O238" s="36"/>
      <c r="P238" s="37"/>
      <c r="Q238" s="38"/>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row>
    <row r="239" spans="2:68" ht="23.25" hidden="1" customHeight="1" x14ac:dyDescent="0.15">
      <c r="B239" s="33"/>
      <c r="C239" s="34"/>
      <c r="D239" s="40"/>
      <c r="E239" s="40"/>
      <c r="F239" s="41"/>
      <c r="G239" s="41"/>
      <c r="H239" s="35"/>
      <c r="I239" s="71"/>
      <c r="J239" s="35"/>
      <c r="K239" s="35"/>
      <c r="L239" s="34"/>
      <c r="M239" s="34"/>
      <c r="N239" s="35"/>
      <c r="O239" s="36"/>
      <c r="P239" s="37"/>
      <c r="Q239" s="38"/>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row>
    <row r="240" spans="2:68" ht="23.25" hidden="1" customHeight="1" x14ac:dyDescent="0.15">
      <c r="B240" s="33"/>
      <c r="C240" s="34"/>
      <c r="D240" s="40"/>
      <c r="E240" s="40"/>
      <c r="F240" s="41"/>
      <c r="G240" s="41"/>
      <c r="H240" s="35"/>
      <c r="I240" s="71"/>
      <c r="J240" s="35"/>
      <c r="K240" s="35"/>
      <c r="L240" s="34"/>
      <c r="M240" s="34"/>
      <c r="N240" s="35"/>
      <c r="O240" s="36"/>
      <c r="P240" s="37"/>
      <c r="Q240" s="38"/>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row>
    <row r="241" spans="2:68" ht="23.25" hidden="1" customHeight="1" x14ac:dyDescent="0.15">
      <c r="B241" s="33"/>
      <c r="C241" s="34"/>
      <c r="D241" s="40"/>
      <c r="E241" s="40"/>
      <c r="F241" s="41"/>
      <c r="G241" s="41"/>
      <c r="H241" s="35"/>
      <c r="I241" s="71"/>
      <c r="J241" s="35"/>
      <c r="K241" s="35"/>
      <c r="L241" s="34"/>
      <c r="M241" s="34"/>
      <c r="N241" s="35"/>
      <c r="O241" s="36"/>
      <c r="P241" s="37"/>
      <c r="Q241" s="38"/>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row>
    <row r="242" spans="2:68" ht="23.25" hidden="1" customHeight="1" x14ac:dyDescent="0.15">
      <c r="B242" s="33"/>
      <c r="C242" s="34"/>
      <c r="D242" s="40"/>
      <c r="E242" s="40"/>
      <c r="F242" s="41"/>
      <c r="G242" s="41"/>
      <c r="H242" s="35"/>
      <c r="I242" s="71"/>
      <c r="J242" s="35"/>
      <c r="K242" s="35"/>
      <c r="L242" s="34"/>
      <c r="M242" s="34"/>
      <c r="N242" s="35"/>
      <c r="O242" s="36"/>
      <c r="P242" s="37"/>
      <c r="Q242" s="38"/>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row>
    <row r="243" spans="2:68" ht="23.25" hidden="1" customHeight="1" x14ac:dyDescent="0.15">
      <c r="B243" s="33"/>
      <c r="C243" s="34"/>
      <c r="D243" s="40"/>
      <c r="E243" s="40"/>
      <c r="F243" s="41"/>
      <c r="G243" s="41"/>
      <c r="H243" s="35"/>
      <c r="I243" s="71"/>
      <c r="J243" s="35"/>
      <c r="K243" s="35"/>
      <c r="L243" s="34"/>
      <c r="M243" s="34"/>
      <c r="N243" s="35"/>
      <c r="O243" s="36"/>
      <c r="P243" s="37"/>
      <c r="Q243" s="38"/>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row>
    <row r="244" spans="2:68" ht="23.25" hidden="1" customHeight="1" x14ac:dyDescent="0.15">
      <c r="B244" s="33"/>
      <c r="C244" s="34"/>
      <c r="D244" s="40"/>
      <c r="E244" s="40"/>
      <c r="F244" s="41"/>
      <c r="G244" s="41"/>
      <c r="H244" s="35"/>
      <c r="I244" s="71"/>
      <c r="J244" s="35"/>
      <c r="K244" s="35"/>
      <c r="L244" s="34"/>
      <c r="M244" s="34"/>
      <c r="N244" s="35"/>
      <c r="O244" s="36"/>
      <c r="P244" s="37"/>
      <c r="Q244" s="38"/>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row>
    <row r="245" spans="2:68" ht="23.25" hidden="1" customHeight="1" x14ac:dyDescent="0.15">
      <c r="B245" s="33"/>
      <c r="C245" s="34"/>
      <c r="D245" s="40"/>
      <c r="E245" s="40"/>
      <c r="F245" s="41"/>
      <c r="G245" s="41"/>
      <c r="H245" s="35"/>
      <c r="I245" s="71"/>
      <c r="J245" s="35"/>
      <c r="K245" s="35"/>
      <c r="L245" s="34"/>
      <c r="M245" s="34"/>
      <c r="N245" s="35"/>
      <c r="O245" s="36"/>
      <c r="P245" s="37"/>
      <c r="Q245" s="38"/>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row>
    <row r="246" spans="2:68" ht="23.25" hidden="1" customHeight="1" x14ac:dyDescent="0.15">
      <c r="B246" s="33"/>
      <c r="C246" s="34"/>
      <c r="D246" s="40"/>
      <c r="E246" s="40"/>
      <c r="F246" s="41"/>
      <c r="G246" s="41"/>
      <c r="H246" s="35"/>
      <c r="I246" s="71"/>
      <c r="J246" s="35"/>
      <c r="K246" s="35"/>
      <c r="L246" s="34"/>
      <c r="M246" s="34"/>
      <c r="N246" s="35"/>
      <c r="O246" s="36"/>
      <c r="P246" s="37"/>
      <c r="Q246" s="38"/>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row>
    <row r="247" spans="2:68" ht="23.25" hidden="1" customHeight="1" x14ac:dyDescent="0.15">
      <c r="B247" s="33"/>
      <c r="C247" s="34"/>
      <c r="D247" s="40"/>
      <c r="E247" s="40"/>
      <c r="F247" s="41"/>
      <c r="G247" s="41"/>
      <c r="H247" s="35"/>
      <c r="I247" s="71"/>
      <c r="J247" s="35"/>
      <c r="K247" s="35"/>
      <c r="L247" s="34"/>
      <c r="M247" s="34"/>
      <c r="N247" s="35"/>
      <c r="O247" s="36"/>
      <c r="P247" s="37"/>
      <c r="Q247" s="38"/>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row>
    <row r="248" spans="2:68" ht="23.25" hidden="1" customHeight="1" x14ac:dyDescent="0.15">
      <c r="B248" s="33"/>
      <c r="C248" s="34"/>
      <c r="D248" s="40"/>
      <c r="E248" s="40"/>
      <c r="F248" s="41"/>
      <c r="G248" s="41"/>
      <c r="H248" s="35"/>
      <c r="I248" s="71"/>
      <c r="J248" s="35"/>
      <c r="K248" s="35"/>
      <c r="L248" s="34"/>
      <c r="M248" s="34"/>
      <c r="N248" s="35"/>
      <c r="O248" s="36"/>
      <c r="P248" s="37"/>
      <c r="Q248" s="38"/>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row>
    <row r="249" spans="2:68" ht="23.25" hidden="1" customHeight="1" x14ac:dyDescent="0.15">
      <c r="B249" s="33"/>
      <c r="C249" s="34"/>
      <c r="D249" s="40"/>
      <c r="E249" s="40"/>
      <c r="F249" s="41"/>
      <c r="G249" s="41"/>
      <c r="H249" s="35"/>
      <c r="I249" s="71"/>
      <c r="J249" s="35"/>
      <c r="K249" s="35"/>
      <c r="L249" s="34"/>
      <c r="M249" s="34"/>
      <c r="N249" s="35"/>
      <c r="O249" s="36"/>
      <c r="P249" s="37"/>
      <c r="Q249" s="38"/>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row>
    <row r="250" spans="2:68" ht="23.25" hidden="1" customHeight="1" x14ac:dyDescent="0.15">
      <c r="B250" s="33"/>
      <c r="C250" s="34"/>
      <c r="D250" s="40"/>
      <c r="E250" s="40"/>
      <c r="F250" s="41"/>
      <c r="G250" s="41"/>
      <c r="H250" s="35"/>
      <c r="I250" s="71"/>
      <c r="J250" s="35"/>
      <c r="K250" s="35"/>
      <c r="L250" s="34"/>
      <c r="M250" s="34"/>
      <c r="N250" s="35"/>
      <c r="O250" s="36"/>
      <c r="P250" s="37"/>
      <c r="Q250" s="38"/>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row>
    <row r="251" spans="2:68" ht="23.25" hidden="1" customHeight="1" x14ac:dyDescent="0.15">
      <c r="B251" s="33"/>
      <c r="C251" s="34"/>
      <c r="D251" s="40"/>
      <c r="E251" s="40"/>
      <c r="F251" s="41"/>
      <c r="G251" s="41"/>
      <c r="H251" s="35"/>
      <c r="I251" s="71"/>
      <c r="J251" s="35"/>
      <c r="K251" s="35"/>
      <c r="L251" s="34"/>
      <c r="M251" s="34"/>
      <c r="N251" s="35"/>
      <c r="O251" s="36"/>
      <c r="P251" s="37"/>
      <c r="Q251" s="38"/>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row>
    <row r="252" spans="2:68" ht="23.25" hidden="1" customHeight="1" x14ac:dyDescent="0.15">
      <c r="B252" s="33"/>
      <c r="C252" s="34"/>
      <c r="D252" s="40"/>
      <c r="E252" s="40"/>
      <c r="F252" s="41"/>
      <c r="G252" s="41"/>
      <c r="H252" s="35"/>
      <c r="I252" s="71"/>
      <c r="J252" s="35"/>
      <c r="K252" s="35"/>
      <c r="L252" s="34"/>
      <c r="M252" s="34"/>
      <c r="N252" s="35"/>
      <c r="O252" s="36"/>
      <c r="P252" s="37"/>
      <c r="Q252" s="38"/>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row>
    <row r="253" spans="2:68" ht="23.25" hidden="1" customHeight="1" x14ac:dyDescent="0.15">
      <c r="B253" s="33"/>
      <c r="C253" s="34"/>
      <c r="D253" s="40"/>
      <c r="E253" s="40"/>
      <c r="F253" s="41"/>
      <c r="G253" s="41"/>
      <c r="H253" s="35"/>
      <c r="I253" s="71"/>
      <c r="J253" s="35"/>
      <c r="K253" s="35"/>
      <c r="L253" s="34"/>
      <c r="M253" s="34"/>
      <c r="N253" s="35"/>
      <c r="O253" s="36"/>
      <c r="P253" s="37"/>
      <c r="Q253" s="38"/>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row>
    <row r="254" spans="2:68" ht="23.25" hidden="1" customHeight="1" x14ac:dyDescent="0.15">
      <c r="B254" s="33"/>
      <c r="C254" s="34"/>
      <c r="D254" s="40"/>
      <c r="E254" s="40"/>
      <c r="F254" s="41"/>
      <c r="G254" s="41"/>
      <c r="H254" s="35"/>
      <c r="I254" s="71"/>
      <c r="J254" s="35"/>
      <c r="K254" s="35"/>
      <c r="L254" s="34"/>
      <c r="M254" s="34"/>
      <c r="N254" s="35"/>
      <c r="O254" s="36"/>
      <c r="P254" s="37"/>
      <c r="Q254" s="38"/>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row>
    <row r="255" spans="2:68" ht="23.25" hidden="1" customHeight="1" x14ac:dyDescent="0.15">
      <c r="B255" s="33"/>
      <c r="C255" s="34"/>
      <c r="D255" s="40"/>
      <c r="E255" s="40"/>
      <c r="F255" s="41"/>
      <c r="G255" s="41"/>
      <c r="H255" s="35"/>
      <c r="I255" s="71"/>
      <c r="J255" s="35"/>
      <c r="K255" s="35"/>
      <c r="L255" s="34"/>
      <c r="M255" s="34"/>
      <c r="N255" s="35"/>
      <c r="O255" s="36"/>
      <c r="P255" s="37"/>
      <c r="Q255" s="38"/>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row>
    <row r="256" spans="2:68" ht="23.25" hidden="1" customHeight="1" x14ac:dyDescent="0.15">
      <c r="B256" s="33"/>
      <c r="C256" s="34"/>
      <c r="D256" s="40"/>
      <c r="E256" s="40"/>
      <c r="F256" s="41"/>
      <c r="G256" s="41"/>
      <c r="H256" s="35"/>
      <c r="I256" s="71"/>
      <c r="J256" s="35"/>
      <c r="K256" s="35"/>
      <c r="L256" s="34"/>
      <c r="M256" s="34"/>
      <c r="N256" s="35"/>
      <c r="O256" s="36"/>
      <c r="P256" s="37"/>
      <c r="Q256" s="38"/>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row>
    <row r="257" spans="2:68" ht="23.25" hidden="1" customHeight="1" x14ac:dyDescent="0.15">
      <c r="B257" s="33"/>
      <c r="C257" s="34"/>
      <c r="D257" s="40"/>
      <c r="E257" s="40"/>
      <c r="F257" s="41"/>
      <c r="G257" s="41"/>
      <c r="H257" s="35"/>
      <c r="I257" s="71"/>
      <c r="J257" s="35"/>
      <c r="K257" s="35"/>
      <c r="L257" s="34"/>
      <c r="M257" s="34"/>
      <c r="N257" s="35"/>
      <c r="O257" s="36"/>
      <c r="P257" s="37"/>
      <c r="Q257" s="38"/>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row>
    <row r="258" spans="2:68" ht="23.25" hidden="1" customHeight="1" x14ac:dyDescent="0.15">
      <c r="B258" s="33"/>
      <c r="C258" s="34"/>
      <c r="D258" s="40"/>
      <c r="E258" s="40"/>
      <c r="F258" s="41"/>
      <c r="G258" s="41"/>
      <c r="H258" s="35"/>
      <c r="I258" s="71"/>
      <c r="J258" s="35"/>
      <c r="K258" s="35"/>
      <c r="L258" s="34"/>
      <c r="M258" s="34"/>
      <c r="N258" s="35"/>
      <c r="O258" s="36"/>
      <c r="P258" s="37"/>
      <c r="Q258" s="38"/>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row>
    <row r="259" spans="2:68" ht="23.25" hidden="1" customHeight="1" x14ac:dyDescent="0.15">
      <c r="B259" s="33"/>
      <c r="C259" s="34"/>
      <c r="D259" s="40"/>
      <c r="E259" s="40"/>
      <c r="F259" s="41"/>
      <c r="G259" s="41"/>
      <c r="H259" s="35"/>
      <c r="I259" s="71"/>
      <c r="J259" s="35"/>
      <c r="K259" s="35"/>
      <c r="L259" s="34"/>
      <c r="M259" s="34"/>
      <c r="N259" s="35"/>
      <c r="O259" s="36"/>
      <c r="P259" s="37"/>
      <c r="Q259" s="38"/>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row>
    <row r="260" spans="2:68" ht="23.25" hidden="1" customHeight="1" x14ac:dyDescent="0.15">
      <c r="B260" s="33"/>
      <c r="C260" s="34"/>
      <c r="D260" s="40"/>
      <c r="E260" s="40"/>
      <c r="F260" s="41"/>
      <c r="G260" s="41"/>
      <c r="H260" s="35"/>
      <c r="I260" s="71"/>
      <c r="J260" s="35"/>
      <c r="K260" s="35"/>
      <c r="L260" s="34"/>
      <c r="M260" s="34"/>
      <c r="N260" s="35"/>
      <c r="O260" s="36"/>
      <c r="P260" s="37"/>
      <c r="Q260" s="38"/>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row>
    <row r="261" spans="2:68" ht="23.25" hidden="1" customHeight="1" x14ac:dyDescent="0.15">
      <c r="B261" s="33"/>
      <c r="C261" s="34"/>
      <c r="D261" s="40"/>
      <c r="E261" s="40"/>
      <c r="F261" s="41"/>
      <c r="G261" s="41"/>
      <c r="H261" s="35"/>
      <c r="I261" s="71"/>
      <c r="J261" s="35"/>
      <c r="K261" s="35"/>
      <c r="L261" s="34"/>
      <c r="M261" s="34"/>
      <c r="N261" s="35"/>
      <c r="O261" s="36"/>
      <c r="P261" s="37"/>
      <c r="Q261" s="38"/>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row>
    <row r="262" spans="2:68" ht="23.25" hidden="1" customHeight="1" x14ac:dyDescent="0.15">
      <c r="B262" s="33"/>
      <c r="C262" s="34"/>
      <c r="D262" s="40"/>
      <c r="E262" s="40"/>
      <c r="F262" s="41"/>
      <c r="G262" s="41"/>
      <c r="H262" s="35"/>
      <c r="I262" s="71"/>
      <c r="J262" s="35"/>
      <c r="K262" s="35"/>
      <c r="L262" s="34"/>
      <c r="M262" s="34"/>
      <c r="N262" s="35"/>
      <c r="O262" s="36"/>
      <c r="P262" s="37"/>
      <c r="Q262" s="38"/>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row>
    <row r="263" spans="2:68" ht="23.25" hidden="1" customHeight="1" x14ac:dyDescent="0.15">
      <c r="B263" s="33"/>
      <c r="C263" s="34"/>
      <c r="D263" s="40"/>
      <c r="E263" s="40"/>
      <c r="F263" s="41"/>
      <c r="G263" s="41"/>
      <c r="H263" s="35"/>
      <c r="I263" s="71"/>
      <c r="J263" s="35"/>
      <c r="K263" s="35"/>
      <c r="L263" s="34"/>
      <c r="M263" s="34"/>
      <c r="N263" s="35"/>
      <c r="O263" s="36"/>
      <c r="P263" s="37"/>
      <c r="Q263" s="38"/>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row>
    <row r="264" spans="2:68" ht="23.25" hidden="1" customHeight="1" x14ac:dyDescent="0.15">
      <c r="B264" s="33"/>
      <c r="C264" s="34"/>
      <c r="D264" s="40"/>
      <c r="E264" s="40"/>
      <c r="F264" s="41"/>
      <c r="G264" s="41"/>
      <c r="H264" s="35"/>
      <c r="I264" s="71"/>
      <c r="J264" s="35"/>
      <c r="K264" s="35"/>
      <c r="L264" s="34"/>
      <c r="M264" s="34"/>
      <c r="N264" s="35"/>
      <c r="O264" s="36"/>
      <c r="P264" s="37"/>
      <c r="Q264" s="38"/>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row>
    <row r="265" spans="2:68" ht="23.25" hidden="1" customHeight="1" x14ac:dyDescent="0.15">
      <c r="B265" s="33"/>
      <c r="C265" s="34"/>
      <c r="D265" s="40"/>
      <c r="E265" s="40"/>
      <c r="F265" s="41"/>
      <c r="G265" s="41"/>
      <c r="H265" s="35"/>
      <c r="I265" s="71"/>
      <c r="J265" s="35"/>
      <c r="K265" s="35"/>
      <c r="L265" s="34"/>
      <c r="M265" s="34"/>
      <c r="N265" s="35"/>
      <c r="O265" s="36"/>
      <c r="P265" s="37"/>
      <c r="Q265" s="38"/>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row>
    <row r="266" spans="2:68" ht="23.25" hidden="1" customHeight="1" x14ac:dyDescent="0.15">
      <c r="B266" s="33"/>
      <c r="C266" s="34"/>
      <c r="D266" s="40"/>
      <c r="E266" s="40"/>
      <c r="F266" s="41"/>
      <c r="G266" s="41"/>
      <c r="H266" s="35"/>
      <c r="I266" s="71"/>
      <c r="J266" s="35"/>
      <c r="K266" s="35"/>
      <c r="L266" s="34"/>
      <c r="M266" s="34"/>
      <c r="N266" s="35"/>
      <c r="O266" s="36"/>
      <c r="P266" s="37"/>
      <c r="Q266" s="38"/>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row>
    <row r="267" spans="2:68" ht="23.25" hidden="1" customHeight="1" x14ac:dyDescent="0.15">
      <c r="B267" s="33"/>
      <c r="C267" s="34"/>
      <c r="D267" s="40"/>
      <c r="E267" s="40"/>
      <c r="F267" s="41"/>
      <c r="G267" s="41"/>
      <c r="H267" s="35"/>
      <c r="I267" s="71"/>
      <c r="J267" s="35"/>
      <c r="K267" s="35"/>
      <c r="L267" s="34"/>
      <c r="M267" s="34"/>
      <c r="N267" s="35"/>
      <c r="O267" s="36"/>
      <c r="P267" s="37"/>
      <c r="Q267" s="38"/>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row>
    <row r="268" spans="2:68" ht="23.25" hidden="1" customHeight="1" x14ac:dyDescent="0.15">
      <c r="B268" s="33"/>
      <c r="C268" s="34"/>
      <c r="D268" s="40"/>
      <c r="E268" s="40"/>
      <c r="F268" s="41"/>
      <c r="G268" s="41"/>
      <c r="H268" s="35"/>
      <c r="I268" s="71"/>
      <c r="J268" s="35"/>
      <c r="K268" s="35"/>
      <c r="L268" s="34"/>
      <c r="M268" s="34"/>
      <c r="N268" s="35"/>
      <c r="O268" s="36"/>
      <c r="P268" s="37"/>
      <c r="Q268" s="38"/>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row>
    <row r="269" spans="2:68" ht="23.25" hidden="1" customHeight="1" x14ac:dyDescent="0.15">
      <c r="B269" s="33"/>
      <c r="C269" s="34"/>
      <c r="D269" s="40"/>
      <c r="E269" s="40"/>
      <c r="F269" s="41"/>
      <c r="G269" s="41"/>
      <c r="H269" s="35"/>
      <c r="I269" s="71"/>
      <c r="J269" s="35"/>
      <c r="K269" s="35"/>
      <c r="L269" s="34"/>
      <c r="M269" s="34"/>
      <c r="N269" s="35"/>
      <c r="O269" s="36"/>
      <c r="P269" s="37"/>
      <c r="Q269" s="38"/>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row>
    <row r="270" spans="2:68" ht="23.25" hidden="1" customHeight="1" x14ac:dyDescent="0.15">
      <c r="B270" s="33"/>
      <c r="C270" s="34"/>
      <c r="D270" s="40"/>
      <c r="E270" s="40"/>
      <c r="F270" s="41"/>
      <c r="G270" s="41"/>
      <c r="H270" s="35"/>
      <c r="I270" s="71"/>
      <c r="J270" s="35"/>
      <c r="K270" s="35"/>
      <c r="L270" s="34"/>
      <c r="M270" s="34"/>
      <c r="N270" s="35"/>
      <c r="O270" s="36"/>
      <c r="P270" s="37"/>
      <c r="Q270" s="38"/>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row>
    <row r="271" spans="2:68" ht="23.25" hidden="1" customHeight="1" x14ac:dyDescent="0.15">
      <c r="B271" s="33"/>
      <c r="C271" s="34"/>
      <c r="D271" s="40"/>
      <c r="E271" s="40"/>
      <c r="F271" s="41"/>
      <c r="G271" s="41"/>
      <c r="H271" s="35"/>
      <c r="I271" s="71"/>
      <c r="J271" s="35"/>
      <c r="K271" s="35"/>
      <c r="L271" s="34"/>
      <c r="M271" s="34"/>
      <c r="N271" s="35"/>
      <c r="O271" s="36"/>
      <c r="P271" s="37"/>
      <c r="Q271" s="38"/>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row>
    <row r="272" spans="2:68" ht="23.25" hidden="1" customHeight="1" x14ac:dyDescent="0.15">
      <c r="B272" s="33"/>
      <c r="C272" s="34"/>
      <c r="D272" s="40"/>
      <c r="E272" s="40"/>
      <c r="F272" s="41"/>
      <c r="G272" s="41"/>
      <c r="H272" s="35"/>
      <c r="I272" s="71"/>
      <c r="J272" s="35"/>
      <c r="K272" s="35"/>
      <c r="L272" s="34"/>
      <c r="M272" s="34"/>
      <c r="N272" s="35"/>
      <c r="O272" s="36"/>
      <c r="P272" s="37"/>
      <c r="Q272" s="38"/>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row>
    <row r="273" spans="2:68" ht="23.25" hidden="1" customHeight="1" x14ac:dyDescent="0.15">
      <c r="B273" s="33"/>
      <c r="C273" s="34"/>
      <c r="D273" s="40"/>
      <c r="E273" s="40"/>
      <c r="F273" s="41"/>
      <c r="G273" s="41"/>
      <c r="H273" s="35"/>
      <c r="I273" s="71"/>
      <c r="J273" s="35"/>
      <c r="K273" s="35"/>
      <c r="L273" s="34"/>
      <c r="M273" s="34"/>
      <c r="N273" s="35"/>
      <c r="O273" s="36"/>
      <c r="P273" s="37"/>
      <c r="Q273" s="38"/>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row>
    <row r="274" spans="2:68" ht="23.25" hidden="1" customHeight="1" x14ac:dyDescent="0.15">
      <c r="B274" s="33"/>
      <c r="C274" s="34"/>
      <c r="D274" s="40"/>
      <c r="E274" s="40"/>
      <c r="F274" s="41"/>
      <c r="G274" s="41"/>
      <c r="H274" s="35"/>
      <c r="I274" s="71"/>
      <c r="J274" s="35"/>
      <c r="K274" s="35"/>
      <c r="L274" s="34"/>
      <c r="M274" s="34"/>
      <c r="N274" s="35"/>
      <c r="O274" s="36"/>
      <c r="P274" s="37"/>
      <c r="Q274" s="38"/>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row>
    <row r="275" spans="2:68" ht="23.25" hidden="1" customHeight="1" x14ac:dyDescent="0.15">
      <c r="B275" s="33"/>
      <c r="C275" s="34"/>
      <c r="D275" s="40"/>
      <c r="E275" s="40"/>
      <c r="F275" s="41"/>
      <c r="G275" s="41"/>
      <c r="H275" s="35"/>
      <c r="I275" s="71"/>
      <c r="J275" s="35"/>
      <c r="K275" s="35"/>
      <c r="L275" s="34"/>
      <c r="M275" s="34"/>
      <c r="N275" s="35"/>
      <c r="O275" s="36"/>
      <c r="P275" s="37"/>
      <c r="Q275" s="38"/>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row>
    <row r="276" spans="2:68" ht="23.25" hidden="1" customHeight="1" x14ac:dyDescent="0.15">
      <c r="B276" s="33"/>
      <c r="C276" s="34"/>
      <c r="D276" s="40"/>
      <c r="E276" s="40"/>
      <c r="F276" s="41"/>
      <c r="G276" s="41"/>
      <c r="H276" s="35"/>
      <c r="I276" s="71"/>
      <c r="J276" s="35"/>
      <c r="K276" s="35"/>
      <c r="L276" s="34"/>
      <c r="M276" s="34"/>
      <c r="N276" s="35"/>
      <c r="O276" s="36"/>
      <c r="P276" s="37"/>
      <c r="Q276" s="38"/>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row>
    <row r="277" spans="2:68" ht="23.25" hidden="1" customHeight="1" x14ac:dyDescent="0.15">
      <c r="B277" s="33"/>
      <c r="C277" s="34"/>
      <c r="D277" s="40"/>
      <c r="E277" s="40"/>
      <c r="F277" s="41"/>
      <c r="G277" s="41"/>
      <c r="H277" s="35"/>
      <c r="I277" s="71"/>
      <c r="J277" s="35"/>
      <c r="K277" s="35"/>
      <c r="L277" s="34"/>
      <c r="M277" s="34"/>
      <c r="N277" s="35"/>
      <c r="O277" s="36"/>
      <c r="P277" s="37"/>
      <c r="Q277" s="38"/>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row>
    <row r="278" spans="2:68" ht="23.25" hidden="1" customHeight="1" x14ac:dyDescent="0.15">
      <c r="B278" s="33"/>
      <c r="C278" s="34"/>
      <c r="D278" s="40"/>
      <c r="E278" s="40"/>
      <c r="F278" s="41"/>
      <c r="G278" s="41"/>
      <c r="H278" s="35"/>
      <c r="I278" s="71"/>
      <c r="J278" s="35"/>
      <c r="K278" s="35"/>
      <c r="L278" s="34"/>
      <c r="M278" s="34"/>
      <c r="N278" s="35"/>
      <c r="O278" s="36"/>
      <c r="P278" s="37"/>
      <c r="Q278" s="38"/>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row>
    <row r="279" spans="2:68" ht="23.25" hidden="1" customHeight="1" x14ac:dyDescent="0.15">
      <c r="B279" s="33"/>
      <c r="C279" s="34"/>
      <c r="D279" s="40"/>
      <c r="E279" s="40"/>
      <c r="F279" s="41"/>
      <c r="G279" s="41"/>
      <c r="H279" s="35"/>
      <c r="I279" s="71"/>
      <c r="J279" s="35"/>
      <c r="K279" s="35"/>
      <c r="L279" s="34"/>
      <c r="M279" s="34"/>
      <c r="N279" s="35"/>
      <c r="O279" s="36"/>
      <c r="P279" s="37"/>
      <c r="Q279" s="38"/>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row>
    <row r="280" spans="2:68" ht="23.25" hidden="1" customHeight="1" x14ac:dyDescent="0.15">
      <c r="B280" s="33"/>
      <c r="C280" s="34"/>
      <c r="D280" s="40"/>
      <c r="E280" s="40"/>
      <c r="F280" s="41"/>
      <c r="G280" s="41"/>
      <c r="H280" s="35"/>
      <c r="I280" s="71"/>
      <c r="J280" s="35"/>
      <c r="K280" s="35"/>
      <c r="L280" s="34"/>
      <c r="M280" s="34"/>
      <c r="N280" s="35"/>
      <c r="O280" s="36"/>
      <c r="P280" s="37"/>
      <c r="Q280" s="38"/>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row>
    <row r="281" spans="2:68" ht="23.25" hidden="1" customHeight="1" x14ac:dyDescent="0.15">
      <c r="B281" s="33"/>
      <c r="C281" s="34"/>
      <c r="D281" s="40"/>
      <c r="E281" s="40"/>
      <c r="F281" s="41"/>
      <c r="G281" s="41"/>
      <c r="H281" s="35"/>
      <c r="I281" s="71"/>
      <c r="J281" s="35"/>
      <c r="K281" s="35"/>
      <c r="L281" s="34"/>
      <c r="M281" s="34"/>
      <c r="N281" s="35"/>
      <c r="O281" s="36"/>
      <c r="P281" s="37"/>
      <c r="Q281" s="38"/>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row>
    <row r="282" spans="2:68" ht="23.25" hidden="1" customHeight="1" x14ac:dyDescent="0.15">
      <c r="B282" s="33"/>
      <c r="C282" s="34"/>
      <c r="D282" s="40"/>
      <c r="E282" s="40"/>
      <c r="F282" s="41"/>
      <c r="G282" s="41"/>
      <c r="H282" s="35"/>
      <c r="I282" s="71"/>
      <c r="J282" s="35"/>
      <c r="K282" s="35"/>
      <c r="L282" s="34"/>
      <c r="M282" s="34"/>
      <c r="N282" s="35"/>
      <c r="O282" s="36"/>
      <c r="P282" s="37"/>
      <c r="Q282" s="38"/>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row>
    <row r="283" spans="2:68" ht="23.25" hidden="1" customHeight="1" x14ac:dyDescent="0.15">
      <c r="B283" s="33"/>
      <c r="C283" s="34"/>
      <c r="D283" s="40"/>
      <c r="E283" s="40"/>
      <c r="F283" s="41"/>
      <c r="G283" s="41"/>
      <c r="H283" s="35"/>
      <c r="I283" s="71"/>
      <c r="J283" s="35"/>
      <c r="K283" s="35"/>
      <c r="L283" s="34"/>
      <c r="M283" s="34"/>
      <c r="N283" s="35"/>
      <c r="O283" s="36"/>
      <c r="P283" s="37"/>
      <c r="Q283" s="38"/>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row>
    <row r="284" spans="2:68" ht="23.25" hidden="1" customHeight="1" x14ac:dyDescent="0.15">
      <c r="B284" s="33"/>
      <c r="C284" s="34"/>
      <c r="D284" s="40"/>
      <c r="E284" s="40"/>
      <c r="F284" s="41"/>
      <c r="G284" s="41"/>
      <c r="H284" s="35"/>
      <c r="I284" s="71"/>
      <c r="J284" s="35"/>
      <c r="K284" s="35"/>
      <c r="L284" s="34"/>
      <c r="M284" s="34"/>
      <c r="N284" s="35"/>
      <c r="O284" s="36"/>
      <c r="P284" s="37"/>
      <c r="Q284" s="38"/>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row>
    <row r="285" spans="2:68" ht="23.25" hidden="1" customHeight="1" x14ac:dyDescent="0.15">
      <c r="B285" s="33"/>
      <c r="C285" s="34"/>
      <c r="D285" s="40"/>
      <c r="E285" s="40"/>
      <c r="F285" s="41"/>
      <c r="G285" s="41"/>
      <c r="H285" s="35"/>
      <c r="I285" s="71"/>
      <c r="J285" s="35"/>
      <c r="K285" s="35"/>
      <c r="L285" s="34"/>
      <c r="M285" s="34"/>
      <c r="N285" s="35"/>
      <c r="O285" s="36"/>
      <c r="P285" s="37"/>
      <c r="Q285" s="38"/>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row>
    <row r="286" spans="2:68" ht="23.25" hidden="1" customHeight="1" x14ac:dyDescent="0.15">
      <c r="B286" s="33"/>
      <c r="C286" s="34"/>
      <c r="D286" s="40"/>
      <c r="E286" s="40"/>
      <c r="F286" s="41"/>
      <c r="G286" s="41"/>
      <c r="H286" s="35"/>
      <c r="I286" s="71"/>
      <c r="J286" s="35"/>
      <c r="K286" s="35"/>
      <c r="L286" s="34"/>
      <c r="M286" s="34"/>
      <c r="N286" s="35"/>
      <c r="O286" s="36"/>
      <c r="P286" s="37"/>
      <c r="Q286" s="38"/>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row>
    <row r="287" spans="2:68" ht="23.25" hidden="1" customHeight="1" x14ac:dyDescent="0.15">
      <c r="B287" s="33"/>
      <c r="C287" s="34"/>
      <c r="D287" s="40"/>
      <c r="E287" s="40"/>
      <c r="F287" s="41"/>
      <c r="G287" s="41"/>
      <c r="H287" s="35"/>
      <c r="I287" s="71"/>
      <c r="J287" s="35"/>
      <c r="K287" s="35"/>
      <c r="L287" s="34"/>
      <c r="M287" s="34"/>
      <c r="N287" s="35"/>
      <c r="O287" s="36"/>
      <c r="P287" s="37"/>
      <c r="Q287" s="38"/>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row>
    <row r="288" spans="2:68" ht="23.25" hidden="1" customHeight="1" x14ac:dyDescent="0.15">
      <c r="B288" s="33"/>
      <c r="C288" s="34"/>
      <c r="D288" s="40"/>
      <c r="E288" s="40"/>
      <c r="F288" s="41"/>
      <c r="G288" s="41"/>
      <c r="H288" s="35"/>
      <c r="I288" s="71"/>
      <c r="J288" s="35"/>
      <c r="K288" s="35"/>
      <c r="L288" s="34"/>
      <c r="M288" s="34"/>
      <c r="N288" s="35"/>
      <c r="O288" s="36"/>
      <c r="P288" s="37"/>
      <c r="Q288" s="38"/>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row>
    <row r="289" spans="2:68" ht="23.25" hidden="1" customHeight="1" x14ac:dyDescent="0.15">
      <c r="B289" s="33"/>
      <c r="C289" s="34"/>
      <c r="D289" s="40"/>
      <c r="E289" s="40"/>
      <c r="F289" s="41"/>
      <c r="G289" s="41"/>
      <c r="H289" s="35"/>
      <c r="I289" s="71"/>
      <c r="J289" s="35"/>
      <c r="K289" s="35"/>
      <c r="L289" s="34"/>
      <c r="M289" s="34"/>
      <c r="N289" s="35"/>
      <c r="O289" s="36"/>
      <c r="P289" s="37"/>
      <c r="Q289" s="38"/>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row>
    <row r="290" spans="2:68" ht="23.25" hidden="1" customHeight="1" x14ac:dyDescent="0.15">
      <c r="B290" s="33"/>
      <c r="C290" s="34"/>
      <c r="D290" s="40"/>
      <c r="E290" s="40"/>
      <c r="F290" s="41"/>
      <c r="G290" s="41"/>
      <c r="H290" s="35"/>
      <c r="I290" s="71"/>
      <c r="J290" s="35"/>
      <c r="K290" s="35"/>
      <c r="L290" s="34"/>
      <c r="M290" s="34"/>
      <c r="N290" s="35"/>
      <c r="O290" s="36"/>
      <c r="P290" s="37"/>
      <c r="Q290" s="38"/>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row>
    <row r="291" spans="2:68" ht="23.25" hidden="1" customHeight="1" x14ac:dyDescent="0.15">
      <c r="B291" s="33"/>
      <c r="C291" s="34"/>
      <c r="D291" s="40"/>
      <c r="E291" s="40"/>
      <c r="F291" s="41"/>
      <c r="G291" s="41"/>
      <c r="H291" s="35"/>
      <c r="I291" s="71"/>
      <c r="J291" s="35"/>
      <c r="K291" s="35"/>
      <c r="L291" s="34"/>
      <c r="M291" s="34"/>
      <c r="N291" s="35"/>
      <c r="O291" s="36"/>
      <c r="P291" s="37"/>
      <c r="Q291" s="38"/>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row>
    <row r="292" spans="2:68" ht="23.25" hidden="1" customHeight="1" x14ac:dyDescent="0.15">
      <c r="B292" s="33"/>
      <c r="C292" s="34"/>
      <c r="D292" s="40"/>
      <c r="E292" s="40"/>
      <c r="F292" s="41"/>
      <c r="G292" s="41"/>
      <c r="H292" s="35"/>
      <c r="I292" s="71"/>
      <c r="J292" s="35"/>
      <c r="K292" s="35"/>
      <c r="L292" s="34"/>
      <c r="M292" s="34"/>
      <c r="N292" s="35"/>
      <c r="O292" s="36"/>
      <c r="P292" s="37"/>
      <c r="Q292" s="38"/>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row>
    <row r="293" spans="2:68" ht="23.25" hidden="1" customHeight="1" x14ac:dyDescent="0.15">
      <c r="B293" s="33"/>
      <c r="C293" s="34"/>
      <c r="D293" s="40"/>
      <c r="E293" s="40"/>
      <c r="F293" s="41"/>
      <c r="G293" s="41"/>
      <c r="H293" s="35"/>
      <c r="I293" s="71"/>
      <c r="J293" s="35"/>
      <c r="K293" s="35"/>
      <c r="L293" s="34"/>
      <c r="M293" s="34"/>
      <c r="N293" s="35"/>
      <c r="O293" s="36"/>
      <c r="P293" s="37"/>
      <c r="Q293" s="38"/>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row>
    <row r="294" spans="2:68" ht="23.25" hidden="1" customHeight="1" x14ac:dyDescent="0.15">
      <c r="B294" s="33"/>
      <c r="C294" s="34"/>
      <c r="D294" s="40"/>
      <c r="E294" s="40"/>
      <c r="F294" s="41"/>
      <c r="G294" s="41"/>
      <c r="H294" s="35"/>
      <c r="I294" s="71"/>
      <c r="J294" s="35"/>
      <c r="K294" s="35"/>
      <c r="L294" s="34"/>
      <c r="M294" s="34"/>
      <c r="N294" s="35"/>
      <c r="O294" s="36"/>
      <c r="P294" s="37"/>
      <c r="Q294" s="38"/>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row>
    <row r="295" spans="2:68" ht="23.25" hidden="1" customHeight="1" x14ac:dyDescent="0.15">
      <c r="B295" s="33"/>
      <c r="C295" s="34"/>
      <c r="D295" s="40"/>
      <c r="E295" s="40"/>
      <c r="F295" s="41"/>
      <c r="G295" s="41"/>
      <c r="H295" s="35"/>
      <c r="I295" s="71"/>
      <c r="J295" s="35"/>
      <c r="K295" s="35"/>
      <c r="L295" s="34"/>
      <c r="M295" s="34"/>
      <c r="N295" s="35"/>
      <c r="O295" s="36"/>
      <c r="P295" s="37"/>
      <c r="Q295" s="38"/>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row>
    <row r="296" spans="2:68" ht="23.25" hidden="1" customHeight="1" x14ac:dyDescent="0.15">
      <c r="B296" s="33"/>
      <c r="C296" s="34"/>
      <c r="D296" s="40"/>
      <c r="E296" s="40"/>
      <c r="F296" s="41"/>
      <c r="G296" s="41"/>
      <c r="H296" s="35"/>
      <c r="I296" s="71"/>
      <c r="J296" s="35"/>
      <c r="K296" s="35"/>
      <c r="L296" s="34"/>
      <c r="M296" s="34"/>
      <c r="N296" s="35"/>
      <c r="O296" s="36"/>
      <c r="P296" s="37"/>
      <c r="Q296" s="38"/>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row>
    <row r="297" spans="2:68" ht="23.25" hidden="1" customHeight="1" x14ac:dyDescent="0.15">
      <c r="B297" s="33"/>
      <c r="C297" s="34"/>
      <c r="D297" s="40"/>
      <c r="E297" s="40"/>
      <c r="F297" s="41"/>
      <c r="G297" s="41"/>
      <c r="H297" s="35"/>
      <c r="I297" s="71"/>
      <c r="J297" s="35"/>
      <c r="K297" s="35"/>
      <c r="L297" s="34"/>
      <c r="M297" s="34"/>
      <c r="N297" s="35"/>
      <c r="O297" s="36"/>
      <c r="P297" s="37"/>
      <c r="Q297" s="38"/>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row>
    <row r="298" spans="2:68" ht="23.25" hidden="1" customHeight="1" x14ac:dyDescent="0.15">
      <c r="B298" s="33"/>
      <c r="C298" s="34"/>
      <c r="D298" s="40"/>
      <c r="E298" s="40"/>
      <c r="F298" s="41"/>
      <c r="G298" s="41"/>
      <c r="H298" s="35"/>
      <c r="I298" s="71"/>
      <c r="J298" s="35"/>
      <c r="K298" s="35"/>
      <c r="L298" s="34"/>
      <c r="M298" s="34"/>
      <c r="N298" s="35"/>
      <c r="O298" s="36"/>
      <c r="P298" s="37"/>
      <c r="Q298" s="38"/>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row>
    <row r="299" spans="2:68" ht="23.25" hidden="1" customHeight="1" x14ac:dyDescent="0.15">
      <c r="B299" s="33"/>
      <c r="C299" s="34"/>
      <c r="D299" s="40"/>
      <c r="E299" s="40"/>
      <c r="F299" s="41"/>
      <c r="G299" s="41"/>
      <c r="H299" s="35"/>
      <c r="I299" s="71"/>
      <c r="J299" s="35"/>
      <c r="K299" s="35"/>
      <c r="L299" s="34"/>
      <c r="M299" s="34"/>
      <c r="N299" s="35"/>
      <c r="O299" s="36"/>
      <c r="P299" s="37"/>
      <c r="Q299" s="38"/>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row>
    <row r="300" spans="2:68" ht="23.25" hidden="1" customHeight="1" x14ac:dyDescent="0.15">
      <c r="B300" s="33"/>
      <c r="C300" s="34"/>
      <c r="D300" s="40"/>
      <c r="E300" s="40"/>
      <c r="F300" s="41"/>
      <c r="G300" s="41"/>
      <c r="H300" s="35"/>
      <c r="I300" s="71"/>
      <c r="J300" s="35"/>
      <c r="K300" s="35"/>
      <c r="L300" s="34"/>
      <c r="M300" s="34"/>
      <c r="N300" s="35"/>
      <c r="O300" s="36"/>
      <c r="P300" s="37"/>
      <c r="Q300" s="38"/>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row>
    <row r="301" spans="2:68" ht="23.25" hidden="1" customHeight="1" x14ac:dyDescent="0.15">
      <c r="B301" s="33"/>
      <c r="C301" s="34"/>
      <c r="D301" s="40"/>
      <c r="E301" s="40"/>
      <c r="F301" s="41"/>
      <c r="G301" s="41"/>
      <c r="H301" s="35"/>
      <c r="I301" s="71"/>
      <c r="J301" s="35"/>
      <c r="K301" s="35"/>
      <c r="L301" s="34"/>
      <c r="M301" s="34"/>
      <c r="N301" s="35"/>
      <c r="O301" s="36"/>
      <c r="P301" s="37"/>
      <c r="Q301" s="38"/>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row>
    <row r="302" spans="2:68" ht="23.25" hidden="1" customHeight="1" x14ac:dyDescent="0.15">
      <c r="B302" s="33"/>
      <c r="C302" s="34"/>
      <c r="D302" s="40"/>
      <c r="E302" s="40"/>
      <c r="F302" s="41"/>
      <c r="G302" s="41"/>
      <c r="H302" s="35"/>
      <c r="I302" s="71"/>
      <c r="J302" s="35"/>
      <c r="K302" s="35"/>
      <c r="L302" s="34"/>
      <c r="M302" s="34"/>
      <c r="N302" s="35"/>
      <c r="O302" s="36"/>
      <c r="P302" s="37"/>
      <c r="Q302" s="38"/>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row>
    <row r="303" spans="2:68" ht="23.25" hidden="1" customHeight="1" x14ac:dyDescent="0.15">
      <c r="B303" s="33"/>
      <c r="C303" s="34"/>
      <c r="D303" s="40"/>
      <c r="E303" s="40"/>
      <c r="F303" s="41"/>
      <c r="G303" s="41"/>
      <c r="H303" s="35"/>
      <c r="I303" s="71"/>
      <c r="J303" s="35"/>
      <c r="K303" s="35"/>
      <c r="L303" s="34"/>
      <c r="M303" s="34"/>
      <c r="N303" s="35"/>
      <c r="O303" s="36"/>
      <c r="P303" s="37"/>
      <c r="Q303" s="38"/>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row>
    <row r="304" spans="2:68" ht="23.25" hidden="1" customHeight="1" x14ac:dyDescent="0.15">
      <c r="B304" s="33"/>
      <c r="C304" s="34"/>
      <c r="D304" s="40"/>
      <c r="E304" s="40"/>
      <c r="F304" s="41"/>
      <c r="G304" s="41"/>
      <c r="H304" s="35"/>
      <c r="I304" s="71"/>
      <c r="J304" s="35"/>
      <c r="K304" s="35"/>
      <c r="L304" s="34"/>
      <c r="M304" s="34"/>
      <c r="N304" s="35"/>
      <c r="O304" s="36"/>
      <c r="P304" s="37"/>
      <c r="Q304" s="38"/>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row>
    <row r="305" spans="2:68" ht="23.25" hidden="1" customHeight="1" x14ac:dyDescent="0.15">
      <c r="B305" s="33"/>
      <c r="C305" s="34"/>
      <c r="D305" s="40"/>
      <c r="E305" s="40"/>
      <c r="F305" s="41"/>
      <c r="G305" s="41"/>
      <c r="H305" s="35"/>
      <c r="I305" s="71"/>
      <c r="J305" s="35"/>
      <c r="K305" s="35"/>
      <c r="L305" s="34"/>
      <c r="M305" s="34"/>
      <c r="N305" s="35"/>
      <c r="O305" s="36"/>
      <c r="P305" s="37"/>
      <c r="Q305" s="38"/>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row>
    <row r="306" spans="2:68" ht="23.25" hidden="1" customHeight="1" x14ac:dyDescent="0.15">
      <c r="B306" s="33"/>
      <c r="C306" s="34"/>
      <c r="D306" s="40"/>
      <c r="E306" s="40"/>
      <c r="F306" s="41"/>
      <c r="G306" s="41"/>
      <c r="H306" s="35"/>
      <c r="I306" s="71"/>
      <c r="J306" s="35"/>
      <c r="K306" s="35"/>
      <c r="L306" s="34"/>
      <c r="M306" s="34"/>
      <c r="N306" s="35"/>
      <c r="O306" s="36"/>
      <c r="P306" s="37"/>
      <c r="Q306" s="38"/>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row>
    <row r="307" spans="2:68" ht="23.25" hidden="1" customHeight="1" x14ac:dyDescent="0.15">
      <c r="B307" s="33"/>
      <c r="C307" s="34"/>
      <c r="D307" s="40"/>
      <c r="E307" s="40"/>
      <c r="F307" s="41"/>
      <c r="G307" s="41"/>
      <c r="H307" s="35"/>
      <c r="I307" s="71"/>
      <c r="J307" s="35"/>
      <c r="K307" s="35"/>
      <c r="L307" s="34"/>
      <c r="M307" s="34"/>
      <c r="N307" s="35"/>
      <c r="O307" s="36"/>
      <c r="P307" s="37"/>
      <c r="Q307" s="38"/>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row>
    <row r="308" spans="2:68" ht="23.25" hidden="1" customHeight="1" x14ac:dyDescent="0.15">
      <c r="B308" s="33"/>
      <c r="C308" s="34"/>
      <c r="D308" s="40"/>
      <c r="E308" s="40"/>
      <c r="F308" s="41"/>
      <c r="G308" s="41"/>
      <c r="H308" s="35"/>
      <c r="I308" s="71"/>
      <c r="J308" s="35"/>
      <c r="K308" s="35"/>
      <c r="L308" s="34"/>
      <c r="M308" s="34"/>
      <c r="N308" s="35"/>
      <c r="O308" s="36"/>
      <c r="P308" s="37"/>
      <c r="Q308" s="38"/>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row>
    <row r="309" spans="2:68" ht="23.25" hidden="1" customHeight="1" x14ac:dyDescent="0.15">
      <c r="B309" s="33"/>
      <c r="C309" s="34"/>
      <c r="D309" s="40"/>
      <c r="E309" s="40"/>
      <c r="F309" s="41"/>
      <c r="G309" s="41"/>
      <c r="H309" s="35"/>
      <c r="I309" s="71"/>
      <c r="J309" s="35"/>
      <c r="K309" s="35"/>
      <c r="L309" s="34"/>
      <c r="M309" s="34"/>
      <c r="N309" s="35"/>
      <c r="O309" s="36"/>
      <c r="P309" s="37"/>
      <c r="Q309" s="38"/>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row>
    <row r="310" spans="2:68" ht="23.25" hidden="1" customHeight="1" x14ac:dyDescent="0.15">
      <c r="B310" s="33"/>
      <c r="C310" s="34"/>
      <c r="D310" s="40"/>
      <c r="E310" s="40"/>
      <c r="F310" s="41"/>
      <c r="G310" s="41"/>
      <c r="H310" s="35"/>
      <c r="I310" s="71"/>
      <c r="J310" s="35"/>
      <c r="K310" s="35"/>
      <c r="L310" s="34"/>
      <c r="M310" s="34"/>
      <c r="N310" s="35"/>
      <c r="O310" s="36"/>
      <c r="P310" s="37"/>
      <c r="Q310" s="38"/>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row>
    <row r="311" spans="2:68" ht="23.25" hidden="1" customHeight="1" x14ac:dyDescent="0.15">
      <c r="B311" s="33"/>
      <c r="C311" s="34"/>
      <c r="D311" s="40"/>
      <c r="E311" s="40"/>
      <c r="F311" s="41"/>
      <c r="G311" s="41"/>
      <c r="H311" s="35"/>
      <c r="I311" s="71"/>
      <c r="J311" s="35"/>
      <c r="K311" s="35"/>
      <c r="L311" s="34"/>
      <c r="M311" s="34"/>
      <c r="N311" s="35"/>
      <c r="O311" s="36"/>
      <c r="P311" s="37"/>
      <c r="Q311" s="38"/>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row>
    <row r="312" spans="2:68" ht="23.25" hidden="1" customHeight="1" x14ac:dyDescent="0.15">
      <c r="B312" s="33"/>
      <c r="C312" s="34"/>
      <c r="D312" s="40"/>
      <c r="E312" s="40"/>
      <c r="F312" s="41"/>
      <c r="G312" s="41"/>
      <c r="H312" s="35"/>
      <c r="I312" s="71"/>
      <c r="J312" s="35"/>
      <c r="K312" s="35"/>
      <c r="L312" s="34"/>
      <c r="M312" s="34"/>
      <c r="N312" s="35"/>
      <c r="O312" s="36"/>
      <c r="P312" s="37"/>
      <c r="Q312" s="38"/>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row>
    <row r="313" spans="2:68" ht="22.5" hidden="1" customHeight="1" x14ac:dyDescent="0.15">
      <c r="B313" s="33"/>
      <c r="C313" s="34"/>
      <c r="D313" s="40"/>
      <c r="E313" s="40"/>
      <c r="F313" s="41"/>
      <c r="G313" s="41"/>
      <c r="H313" s="35"/>
      <c r="I313" s="71"/>
      <c r="J313" s="35"/>
      <c r="K313" s="35"/>
      <c r="L313" s="34"/>
      <c r="M313" s="34"/>
      <c r="N313" s="35"/>
      <c r="O313" s="36"/>
      <c r="P313" s="37"/>
      <c r="Q313" s="38"/>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row>
    <row r="314" spans="2:68" ht="22.5" hidden="1" customHeight="1" x14ac:dyDescent="0.15">
      <c r="B314" s="33"/>
      <c r="C314" s="34"/>
      <c r="D314" s="40"/>
      <c r="E314" s="40"/>
      <c r="F314" s="41"/>
      <c r="G314" s="41"/>
      <c r="H314" s="35"/>
      <c r="I314" s="71"/>
      <c r="J314" s="35"/>
      <c r="K314" s="35"/>
      <c r="L314" s="34"/>
      <c r="M314" s="34"/>
      <c r="N314" s="35"/>
      <c r="O314" s="36"/>
      <c r="P314" s="37"/>
      <c r="Q314" s="38"/>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row>
    <row r="315" spans="2:68" ht="22.5" hidden="1" customHeight="1" x14ac:dyDescent="0.15">
      <c r="B315" s="33"/>
      <c r="C315" s="34"/>
      <c r="D315" s="40"/>
      <c r="E315" s="40"/>
      <c r="F315" s="41"/>
      <c r="G315" s="41"/>
      <c r="H315" s="35"/>
      <c r="I315" s="71"/>
      <c r="J315" s="35"/>
      <c r="K315" s="35"/>
      <c r="L315" s="34"/>
      <c r="M315" s="34"/>
      <c r="N315" s="35"/>
      <c r="O315" s="36"/>
      <c r="P315" s="37"/>
      <c r="Q315" s="38"/>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row>
    <row r="316" spans="2:68" ht="22.5" hidden="1" customHeight="1" x14ac:dyDescent="0.15">
      <c r="B316" s="33"/>
      <c r="C316" s="34"/>
      <c r="D316" s="40"/>
      <c r="E316" s="40"/>
      <c r="F316" s="41"/>
      <c r="G316" s="41"/>
      <c r="H316" s="35"/>
      <c r="I316" s="71"/>
      <c r="J316" s="35"/>
      <c r="K316" s="35"/>
      <c r="L316" s="34"/>
      <c r="M316" s="34"/>
      <c r="N316" s="35"/>
      <c r="O316" s="36"/>
      <c r="P316" s="37"/>
      <c r="Q316" s="38"/>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row>
    <row r="317" spans="2:68" ht="22.5" hidden="1" customHeight="1" x14ac:dyDescent="0.15">
      <c r="B317" s="33"/>
      <c r="C317" s="34"/>
      <c r="D317" s="40"/>
      <c r="E317" s="40"/>
      <c r="F317" s="41"/>
      <c r="G317" s="41"/>
      <c r="H317" s="35"/>
      <c r="I317" s="71"/>
      <c r="J317" s="35"/>
      <c r="K317" s="35"/>
      <c r="L317" s="34"/>
      <c r="M317" s="34"/>
      <c r="N317" s="35"/>
      <c r="O317" s="36"/>
      <c r="P317" s="37"/>
      <c r="Q317" s="38"/>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row>
    <row r="318" spans="2:68" ht="22.5" hidden="1" customHeight="1" x14ac:dyDescent="0.15">
      <c r="B318" s="33"/>
      <c r="C318" s="34"/>
      <c r="D318" s="40"/>
      <c r="E318" s="40"/>
      <c r="F318" s="41"/>
      <c r="G318" s="41"/>
      <c r="H318" s="35"/>
      <c r="I318" s="71"/>
      <c r="J318" s="35"/>
      <c r="K318" s="35"/>
      <c r="L318" s="34"/>
      <c r="M318" s="34"/>
      <c r="N318" s="35"/>
      <c r="O318" s="36"/>
      <c r="P318" s="37"/>
      <c r="Q318" s="38"/>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row>
    <row r="319" spans="2:68" ht="22.5" hidden="1" customHeight="1" x14ac:dyDescent="0.15">
      <c r="B319" s="33"/>
      <c r="C319" s="34"/>
      <c r="D319" s="40"/>
      <c r="E319" s="40"/>
      <c r="F319" s="41"/>
      <c r="G319" s="41"/>
      <c r="H319" s="35"/>
      <c r="I319" s="71"/>
      <c r="J319" s="35"/>
      <c r="K319" s="35"/>
      <c r="L319" s="34"/>
      <c r="M319" s="34"/>
      <c r="N319" s="35"/>
      <c r="O319" s="36"/>
      <c r="P319" s="37"/>
      <c r="Q319" s="38"/>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row>
    <row r="320" spans="2:68" ht="22.5" hidden="1" customHeight="1" x14ac:dyDescent="0.15">
      <c r="B320" s="33"/>
      <c r="C320" s="34"/>
      <c r="D320" s="40"/>
      <c r="E320" s="40"/>
      <c r="F320" s="41"/>
      <c r="G320" s="41"/>
      <c r="H320" s="35"/>
      <c r="I320" s="71"/>
      <c r="J320" s="35"/>
      <c r="K320" s="35"/>
      <c r="L320" s="34"/>
      <c r="M320" s="34"/>
      <c r="N320" s="35"/>
      <c r="O320" s="36"/>
      <c r="P320" s="37"/>
      <c r="Q320" s="38"/>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row>
    <row r="321" spans="2:68" ht="22.5" hidden="1" customHeight="1" x14ac:dyDescent="0.15">
      <c r="B321" s="33"/>
      <c r="C321" s="34"/>
      <c r="D321" s="40"/>
      <c r="E321" s="40"/>
      <c r="F321" s="41"/>
      <c r="G321" s="41"/>
      <c r="H321" s="35"/>
      <c r="I321" s="71"/>
      <c r="J321" s="35"/>
      <c r="K321" s="35"/>
      <c r="L321" s="34"/>
      <c r="M321" s="34"/>
      <c r="N321" s="35"/>
      <c r="O321" s="36"/>
      <c r="P321" s="37"/>
      <c r="Q321" s="38"/>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row>
    <row r="322" spans="2:68" ht="22.5" hidden="1" customHeight="1" x14ac:dyDescent="0.15">
      <c r="B322" s="33"/>
      <c r="C322" s="34"/>
      <c r="D322" s="40"/>
      <c r="E322" s="40"/>
      <c r="F322" s="41"/>
      <c r="G322" s="41"/>
      <c r="H322" s="35"/>
      <c r="I322" s="71"/>
      <c r="J322" s="35"/>
      <c r="K322" s="35"/>
      <c r="L322" s="34"/>
      <c r="M322" s="34"/>
      <c r="N322" s="35"/>
      <c r="O322" s="36"/>
      <c r="P322" s="37"/>
      <c r="Q322" s="38"/>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row>
    <row r="323" spans="2:68" ht="22.5" hidden="1" customHeight="1" x14ac:dyDescent="0.15">
      <c r="B323" s="33"/>
      <c r="C323" s="34"/>
      <c r="D323" s="40"/>
      <c r="E323" s="40"/>
      <c r="F323" s="41"/>
      <c r="G323" s="41"/>
      <c r="H323" s="35"/>
      <c r="I323" s="71"/>
      <c r="J323" s="35"/>
      <c r="K323" s="35"/>
      <c r="L323" s="34"/>
      <c r="M323" s="34"/>
      <c r="N323" s="35"/>
      <c r="O323" s="36"/>
      <c r="P323" s="37"/>
      <c r="Q323" s="38"/>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row>
    <row r="324" spans="2:68" ht="22.5" hidden="1" customHeight="1" x14ac:dyDescent="0.15">
      <c r="B324" s="33"/>
      <c r="C324" s="34"/>
      <c r="D324" s="40"/>
      <c r="E324" s="40"/>
      <c r="F324" s="41"/>
      <c r="G324" s="41"/>
      <c r="H324" s="35"/>
      <c r="I324" s="71"/>
      <c r="J324" s="35"/>
      <c r="K324" s="35"/>
      <c r="L324" s="34"/>
      <c r="M324" s="34"/>
      <c r="N324" s="35"/>
      <c r="O324" s="36"/>
      <c r="P324" s="37"/>
      <c r="Q324" s="38"/>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row>
    <row r="325" spans="2:68" ht="22.5" hidden="1" customHeight="1" x14ac:dyDescent="0.15">
      <c r="B325" s="33"/>
      <c r="C325" s="34"/>
      <c r="D325" s="40"/>
      <c r="E325" s="40"/>
      <c r="F325" s="41"/>
      <c r="G325" s="41"/>
      <c r="H325" s="35"/>
      <c r="I325" s="71"/>
      <c r="J325" s="35"/>
      <c r="K325" s="35"/>
      <c r="L325" s="34"/>
      <c r="M325" s="34"/>
      <c r="N325" s="35"/>
      <c r="O325" s="36"/>
      <c r="P325" s="37"/>
      <c r="Q325" s="38"/>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row>
    <row r="326" spans="2:68" ht="22.5" customHeight="1" x14ac:dyDescent="0.15"/>
    <row r="327" spans="2:68" ht="22.5" customHeight="1" x14ac:dyDescent="0.15"/>
    <row r="328" spans="2:68" ht="22.5" customHeight="1" x14ac:dyDescent="0.15"/>
    <row r="329" spans="2:68" ht="22.5" customHeight="1" x14ac:dyDescent="0.15"/>
    <row r="330" spans="2:68" ht="22.5" customHeight="1" x14ac:dyDescent="0.15"/>
    <row r="331" spans="2:68" ht="22.5" customHeight="1" x14ac:dyDescent="0.15"/>
    <row r="332" spans="2:68" ht="22.5" customHeight="1" x14ac:dyDescent="0.15"/>
    <row r="333" spans="2:68" ht="22.5" customHeight="1" x14ac:dyDescent="0.15"/>
    <row r="334" spans="2:68" ht="22.5" customHeight="1" x14ac:dyDescent="0.15"/>
    <row r="335" spans="2:68" ht="22.5" customHeight="1" x14ac:dyDescent="0.15"/>
    <row r="336" spans="2:68" ht="22.5" customHeight="1" x14ac:dyDescent="0.15"/>
    <row r="337" ht="22.5" customHeight="1" x14ac:dyDescent="0.15"/>
    <row r="338" ht="22.5" customHeight="1" x14ac:dyDescent="0.15"/>
    <row r="339" ht="22.5" customHeight="1" x14ac:dyDescent="0.15"/>
    <row r="340" ht="22.5" customHeight="1" x14ac:dyDescent="0.15"/>
    <row r="341" ht="22.5" customHeight="1" x14ac:dyDescent="0.15"/>
    <row r="342" ht="22.5" customHeight="1" x14ac:dyDescent="0.15"/>
    <row r="343" ht="22.5" customHeight="1" x14ac:dyDescent="0.15"/>
    <row r="344" ht="22.5" customHeight="1" x14ac:dyDescent="0.15"/>
    <row r="345" ht="22.5" customHeight="1" x14ac:dyDescent="0.15"/>
    <row r="346" ht="22.5" customHeight="1" x14ac:dyDescent="0.15"/>
    <row r="347" ht="22.5" customHeight="1" x14ac:dyDescent="0.15"/>
    <row r="348" ht="22.5" customHeight="1" x14ac:dyDescent="0.15"/>
    <row r="349" ht="22.5" customHeight="1" x14ac:dyDescent="0.15"/>
    <row r="350" ht="22.5" customHeight="1" x14ac:dyDescent="0.15"/>
    <row r="351" ht="22.5" customHeight="1" x14ac:dyDescent="0.15"/>
    <row r="352" ht="22.5" customHeight="1" x14ac:dyDescent="0.15"/>
    <row r="353" ht="22.5" customHeight="1" x14ac:dyDescent="0.15"/>
    <row r="354" ht="22.5" customHeight="1" x14ac:dyDescent="0.15"/>
    <row r="355" ht="22.5" customHeight="1" x14ac:dyDescent="0.15"/>
    <row r="356" ht="22.5" customHeight="1" x14ac:dyDescent="0.15"/>
    <row r="357" ht="22.5" customHeight="1" x14ac:dyDescent="0.15"/>
    <row r="358" ht="22.5" customHeight="1" x14ac:dyDescent="0.15"/>
    <row r="359" ht="22.5" customHeight="1" x14ac:dyDescent="0.15"/>
    <row r="360" ht="22.5" customHeight="1" x14ac:dyDescent="0.15"/>
    <row r="361" ht="22.5" customHeight="1" x14ac:dyDescent="0.15"/>
    <row r="362" ht="22.5" customHeight="1" x14ac:dyDescent="0.15"/>
    <row r="363" ht="22.5" customHeight="1" x14ac:dyDescent="0.15"/>
    <row r="364" ht="22.5" customHeight="1" x14ac:dyDescent="0.15"/>
    <row r="365" ht="22.5" customHeight="1" x14ac:dyDescent="0.15"/>
    <row r="366" ht="22.5" customHeight="1" x14ac:dyDescent="0.15"/>
    <row r="367" ht="22.5" customHeight="1" x14ac:dyDescent="0.15"/>
    <row r="368" ht="22.5" customHeight="1" x14ac:dyDescent="0.15"/>
    <row r="369" ht="22.5" customHeight="1" x14ac:dyDescent="0.15"/>
    <row r="370" ht="22.5" customHeight="1" x14ac:dyDescent="0.15"/>
    <row r="371" ht="22.5" customHeight="1" x14ac:dyDescent="0.15"/>
    <row r="372" ht="22.5" customHeight="1" x14ac:dyDescent="0.15"/>
    <row r="373" ht="22.5" customHeight="1" x14ac:dyDescent="0.15"/>
    <row r="374" ht="22.5" customHeight="1" x14ac:dyDescent="0.15"/>
    <row r="375" ht="22.5" customHeight="1" x14ac:dyDescent="0.15"/>
    <row r="376" ht="22.5" customHeight="1" x14ac:dyDescent="0.15"/>
    <row r="377" ht="22.5" customHeight="1" x14ac:dyDescent="0.15"/>
    <row r="378" ht="22.5" customHeight="1" x14ac:dyDescent="0.15"/>
    <row r="379" ht="22.5" customHeight="1" x14ac:dyDescent="0.15"/>
    <row r="380" ht="22.5" customHeight="1" x14ac:dyDescent="0.15"/>
    <row r="381" ht="22.5" customHeight="1" x14ac:dyDescent="0.15"/>
    <row r="382" ht="22.5" customHeight="1" x14ac:dyDescent="0.15"/>
    <row r="383" ht="22.5" customHeight="1" x14ac:dyDescent="0.15"/>
    <row r="384" ht="22.5" customHeight="1" x14ac:dyDescent="0.15"/>
    <row r="385" ht="22.5" customHeight="1" x14ac:dyDescent="0.15"/>
    <row r="386" ht="22.5" customHeight="1" x14ac:dyDescent="0.15"/>
    <row r="387" ht="22.5" customHeight="1" x14ac:dyDescent="0.15"/>
    <row r="388" ht="22.5" customHeight="1" x14ac:dyDescent="0.15"/>
    <row r="389" ht="22.5" customHeight="1" x14ac:dyDescent="0.15"/>
    <row r="390" ht="22.5" customHeight="1" x14ac:dyDescent="0.15"/>
    <row r="391" ht="22.5" customHeight="1" x14ac:dyDescent="0.15"/>
    <row r="392" ht="22.5" customHeight="1" x14ac:dyDescent="0.15"/>
    <row r="393" ht="22.5" customHeight="1" x14ac:dyDescent="0.15"/>
    <row r="394" ht="22.5" customHeight="1" x14ac:dyDescent="0.15"/>
    <row r="395" ht="22.5" customHeight="1" x14ac:dyDescent="0.15"/>
    <row r="396" ht="22.5" customHeight="1" x14ac:dyDescent="0.15"/>
    <row r="397" ht="22.5" customHeight="1" x14ac:dyDescent="0.15"/>
    <row r="398" ht="22.5" customHeight="1" x14ac:dyDescent="0.15"/>
    <row r="399" ht="22.5" customHeight="1" x14ac:dyDescent="0.15"/>
    <row r="400" ht="22.5" customHeight="1" x14ac:dyDescent="0.15"/>
    <row r="401" ht="22.5" customHeight="1" x14ac:dyDescent="0.15"/>
    <row r="402" ht="22.5" customHeight="1" x14ac:dyDescent="0.15"/>
    <row r="403" ht="22.5" customHeight="1" x14ac:dyDescent="0.15"/>
    <row r="404" ht="22.5" customHeight="1" x14ac:dyDescent="0.15"/>
    <row r="405" ht="22.5" customHeight="1" x14ac:dyDescent="0.15"/>
    <row r="406" ht="22.5" customHeight="1" x14ac:dyDescent="0.15"/>
    <row r="407" ht="22.5" customHeight="1" x14ac:dyDescent="0.15"/>
  </sheetData>
  <phoneticPr fontId="22" type="noConversion"/>
  <conditionalFormatting sqref="B30:F30 I30:O30 H36:O45 B36:G56 B57:D73 E63:O63 E64:H64 J64:O64 E65:O68 E69:H69 J69:O69 E70:O73 B74:H74 J74:O74 B75:O78 B79:H79 J79:O79 B84:H84 J84:O84 B85:O88 I89:O89 B89:D149 H90:O92 I93:O93 H94:O96 I97:O97 H98:O100 I101:O101 H102:O104 I105:O105 H106:O108 I109:O109 H110:O112 I113:O113 H114:O120 F117:O119 G120:O120 I121:O121 G122:O124 I125:O125 J129:J148 E137:G149 B150:G151 B152:O152 B153:G154 H153:H162 I153:O169 E155:G181 B155:D198 B80:O83">
    <cfRule type="expression" dxfId="357" priority="1842">
      <formula>$C30&lt;&gt;""</formula>
    </cfRule>
  </conditionalFormatting>
  <conditionalFormatting sqref="B10:G30 H12:H17 J12:O17 J18:K18 L18:O24 H19:K21 I22:K22 H23:K24 L26:O29 E57:G62 H170:O181 E182:O182 E183:F198 H184:I193 G184:G198 J184:O198 I194:I198 B199:O325">
    <cfRule type="expression" dxfId="356" priority="285">
      <formula>$C10&lt;&gt;""</formula>
    </cfRule>
  </conditionalFormatting>
  <conditionalFormatting sqref="B31:O35">
    <cfRule type="expression" dxfId="355" priority="147">
      <formula>$C31&lt;&gt;""</formula>
    </cfRule>
  </conditionalFormatting>
  <conditionalFormatting sqref="C10:D23 C24:G29 C30:F30 C199:O325 E10:O11 E14:H14 H15:H17 H19 H20:K21 H23:K24 H25 F36:O45 G36:G62 F48:O51 F52:H52 F53:O57 F58:H58 F59:O63 F64:H64 F65:O68 F69:H69 F70:O73 F89:G125 F117:O119 G120:O120 G121:G148 G122:O124 J52:O52 J58:O58 J64:O64 J69:O69 H106:O108 H110:O112 H90:O92 H94:O96 H98:O100 H102:O104 H114:O120 F126:O127 E128:O128 J25:O25 F84:H84 E79:H79 F85:O88 F153:G168 F169:O182 G185:G198 H153:H162 E36:E73 E84:E151 E153:E198 J185:O191 H184:I193 E15:G23 E12:G13 J79:O79 J84:O84 J12:O17 L18:O24 I22:K22 C22:C24 L26:O29 I30:O30 C31:C198 I89:O89 I93:O93 I97:O97 I101:O101 I105:O105 I109:O109 I113:O113 I121:O121 I125:O125 I194:I198 E80:O83 F129:O151 E152:O152 I153:O168">
    <cfRule type="expression" dxfId="354" priority="1853">
      <formula>AND($C10&lt;&gt;"",ISERROR(FIND(".",$C10,1)))</formula>
    </cfRule>
  </conditionalFormatting>
  <conditionalFormatting sqref="D10:D30 D199:D325">
    <cfRule type="expression" dxfId="353" priority="1852">
      <formula>$D10="Finance"</formula>
    </cfRule>
    <cfRule type="expression" dxfId="352" priority="1851">
      <formula>$D10="Customer First"</formula>
    </cfRule>
    <cfRule type="expression" dxfId="351" priority="1850">
      <formula>$D10="Internal Processes"</formula>
    </cfRule>
    <cfRule type="expression" dxfId="350" priority="1849">
      <formula>$D10="Employees &amp; Learning"</formula>
    </cfRule>
  </conditionalFormatting>
  <conditionalFormatting sqref="D30 D79:D168">
    <cfRule type="expression" dxfId="349" priority="1452">
      <formula>$D30="Internal Processes"</formula>
    </cfRule>
    <cfRule type="expression" dxfId="348" priority="1455">
      <formula>AND($C30&lt;&gt;"",ISERROR(FIND(".",$C30,1)))</formula>
    </cfRule>
    <cfRule type="expression" dxfId="347" priority="1454">
      <formula>$D30="Finance"</formula>
    </cfRule>
    <cfRule type="expression" dxfId="346" priority="1453">
      <formula>$D30="Customer First"</formula>
    </cfRule>
  </conditionalFormatting>
  <conditionalFormatting sqref="D30:D63">
    <cfRule type="expression" dxfId="345" priority="154">
      <formula>$D30="Employees &amp; Learning"</formula>
    </cfRule>
    <cfRule type="expression" dxfId="344" priority="158">
      <formula>AND($C30&lt;&gt;"",ISERROR(FIND(".",$C30,1)))</formula>
    </cfRule>
    <cfRule type="expression" dxfId="343" priority="156">
      <formula>$D30="Customer First"</formula>
    </cfRule>
    <cfRule type="expression" dxfId="342" priority="155">
      <formula>$D30="Internal Processes"</formula>
    </cfRule>
    <cfRule type="expression" dxfId="341" priority="157">
      <formula>$D30="Finance"</formula>
    </cfRule>
  </conditionalFormatting>
  <conditionalFormatting sqref="D46:D78 D126:D148 D169:D325">
    <cfRule type="expression" dxfId="340" priority="398">
      <formula>$D46="Finance"</formula>
    </cfRule>
    <cfRule type="expression" dxfId="339" priority="396">
      <formula>$D46="Internal Processes"</formula>
    </cfRule>
    <cfRule type="expression" dxfId="338" priority="395">
      <formula>$D46="Employees &amp; Learning"</formula>
    </cfRule>
    <cfRule type="expression" dxfId="337" priority="397">
      <formula>$D46="Customer First"</formula>
    </cfRule>
    <cfRule type="expression" dxfId="336" priority="399">
      <formula>AND($C46&lt;&gt;"",ISERROR(FIND(".",$C46,1)))</formula>
    </cfRule>
  </conditionalFormatting>
  <conditionalFormatting sqref="D79:D168 D30">
    <cfRule type="expression" dxfId="335" priority="1451">
      <formula>$D30="Employees &amp; Learning"</formula>
    </cfRule>
  </conditionalFormatting>
  <conditionalFormatting sqref="E10:E45 B10:B325 E79:E325">
    <cfRule type="expression" dxfId="334" priority="160">
      <formula>OR(AND($D10="Customer first",$E10="Reliable product quality"),AND($D10="Customer first",$E10="Easy shopping"),AND($D10="Customer first",$E10="Competent service"),AND($D10="Customer first",$E10="Seamless cross channel"))</formula>
    </cfRule>
    <cfRule type="expression" dxfId="333" priority="159">
      <formula>OR(AND($D10="Internal Processes",$E10="Balanced Flow of Goods"),AND($D10="Internal Processes",$E10="Relevant assortment"),AND($D10="Internal Processes",$E10="Attractive stores"),AND($D10="Internal Processes",$E10="Effective Marketing"))</formula>
    </cfRule>
    <cfRule type="expression" dxfId="332" priority="161">
      <formula>OR(AND($D10="Finance",$E10="Even better cost management"),AND($D10="Finance",$E10="Improve Earnings"),AND($D10="Finance",$E10="Sales Growth"),AND($D10="Finance",$E10="Expansion"))</formula>
    </cfRule>
  </conditionalFormatting>
  <conditionalFormatting sqref="E10:E325 B10:B325">
    <cfRule type="expression" dxfId="331" priority="153">
      <formula>OR(AND($D10="Employees &amp; Learning",$E10="Strong Talent Pipeline"),AND($D10="Employees &amp; Learning",$E10="Relevant Training"),AND($D10="Employees &amp; Learning",$E10="Great Store Management"),AND($D10="Employees &amp; Learning",$E10="Attractive Place to Work"))</formula>
    </cfRule>
  </conditionalFormatting>
  <conditionalFormatting sqref="E30">
    <cfRule type="expression" dxfId="330" priority="1841">
      <formula>OR(AND($D30="Finance",$E30="Even better cost management"),AND($D30="Finance",$E30="Improve Earnings"),AND($D30="Finance",$E30="Sales Growth"),AND($D30="Finance",$E30="Expansion"))</formula>
    </cfRule>
    <cfRule type="expression" dxfId="329" priority="1840">
      <formula>OR(AND($D30="Customer first",$E30="Reliable product quality"),AND($D30="Customer first",$E30="Easy shopping"),AND($D30="Customer first",$E30="Competent service"),AND($D30="Customer first",$E30="Seamless cross channel"))</formula>
    </cfRule>
    <cfRule type="expression" dxfId="328" priority="1839">
      <formula>OR(AND($D30="Internal Processes",$E30="Balanced Flow of Goods"),AND($D30="Internal Processes",$E30="Relevant assortment"),AND($D30="Internal Processes",$E30="Attractive stores"),AND($D30="Internal Processes",$E30="Effective Marketing"))</formula>
    </cfRule>
  </conditionalFormatting>
  <conditionalFormatting sqref="E31:E35">
    <cfRule type="expression" dxfId="327" priority="150">
      <formula>OR(AND($D31="Customer first",$E31="Reliable product quality"),AND($D31="Customer first",$E31="Easy shopping"),AND($D31="Customer first",$E31="Competent service"),AND($D31="Customer first",$E31="Seamless cross channel"))</formula>
    </cfRule>
    <cfRule type="expression" dxfId="326" priority="151">
      <formula>OR(AND($D31="Finance",$E31="Even better cost management"),AND($D31="Finance",$E31="Improve Earnings"),AND($D31="Finance",$E31="Sales Growth"),AND($D31="Finance",$E31="Expansion"))</formula>
    </cfRule>
    <cfRule type="expression" dxfId="325" priority="152">
      <formula>AND($C31&lt;&gt;"",ISERROR(FIND(".",$C31,1)))</formula>
    </cfRule>
    <cfRule type="expression" dxfId="324" priority="148">
      <formula>OR(AND($D31="Employees &amp; Learning",$E31="Strong Talent Pipeline"),AND($D31="Employees &amp; Learning",$E31="Relevant Training"),AND($D31="Employees &amp; Learning",$E31="Great Store Management"),AND($D31="Employees &amp; Learning",$E31="Attractive Place to Work"))</formula>
    </cfRule>
    <cfRule type="expression" dxfId="323" priority="149">
      <formula>OR(AND($D31="Internal Processes",$E31="Balanced Flow of Goods"),AND($D31="Internal Processes",$E31="Relevant assortment"),AND($D31="Internal Processes",$E31="Attractive stores"),AND($D31="Internal Processes",$E31="Effective Marketing"))</formula>
    </cfRule>
  </conditionalFormatting>
  <conditionalFormatting sqref="E36:E45">
    <cfRule type="expression" dxfId="322" priority="379">
      <formula>AND($C36&lt;&gt;"",ISERROR(FIND(".",$C36,1)))</formula>
    </cfRule>
  </conditionalFormatting>
  <conditionalFormatting sqref="E36:E73">
    <cfRule type="expression" dxfId="321" priority="406">
      <formula>OR(AND($D36="Finance",$E36="Even better cost management"),AND($D36="Finance",$E36="Improve Earnings"),AND($D36="Finance",$E36="Sales Growth"),AND($D36="Finance",$E36="Expansion"))</formula>
    </cfRule>
    <cfRule type="expression" dxfId="320" priority="404">
      <formula>OR(AND($D36="Internal Processes",$E36="Balanced Flow of Goods"),AND($D36="Internal Processes",$E36="Relevant assortment"),AND($D36="Internal Processes",$E36="Attractive stores"),AND($D36="Internal Processes",$E36="Effective Marketing"))</formula>
    </cfRule>
    <cfRule type="expression" dxfId="319" priority="405">
      <formula>OR(AND($D36="Customer first",$E36="Reliable product quality"),AND($D36="Customer first",$E36="Easy shopping"),AND($D36="Customer first",$E36="Competent service"),AND($D36="Customer first",$E36="Seamless cross channel"))</formula>
    </cfRule>
  </conditionalFormatting>
  <conditionalFormatting sqref="E74:E78">
    <cfRule type="expression" dxfId="318" priority="131">
      <formula>AND($C74&lt;&gt;"",ISERROR(FIND(".",$C74,1)))</formula>
    </cfRule>
    <cfRule type="expression" dxfId="317" priority="130">
      <formula>OR(AND($D74="Finance",$E74="Even better cost management"),AND($D74="Finance",$E74="Improve Earnings"),AND($D74="Finance",$E74="Sales Growth"),AND($D74="Finance",$E74="Expansion"))</formula>
    </cfRule>
    <cfRule type="expression" dxfId="316" priority="129">
      <formula>OR(AND($D74="Customer first",$E74="Reliable product quality"),AND($D74="Customer first",$E74="Easy shopping"),AND($D74="Customer first",$E74="Competent service"),AND($D74="Customer first",$E74="Seamless cross channel"))</formula>
    </cfRule>
    <cfRule type="expression" dxfId="315" priority="128">
      <formula>OR(AND($D74="Internal Processes",$E74="Balanced Flow of Goods"),AND($D74="Internal Processes",$E74="Relevant assortment"),AND($D74="Internal Processes",$E74="Attractive stores"),AND($D74="Internal Processes",$E74="Effective Marketing"))</formula>
    </cfRule>
  </conditionalFormatting>
  <conditionalFormatting sqref="E89:E198">
    <cfRule type="expression" dxfId="314" priority="376">
      <formula>OR(AND($D89="Internal Processes",$E89="Balanced Flow of Goods"),AND($D89="Internal Processes",$E89="Relevant assortment"),AND($D89="Internal Processes",$E89="Attractive stores"),AND($D89="Internal Processes",$E89="Effective Marketing"))</formula>
    </cfRule>
    <cfRule type="expression" dxfId="313" priority="377">
      <formula>OR(AND($D89="Customer first",$E89="Reliable product quality"),AND($D89="Customer first",$E89="Easy shopping"),AND($D89="Customer first",$E89="Competent service"),AND($D89="Customer first",$E89="Seamless cross channel"))</formula>
    </cfRule>
    <cfRule type="expression" dxfId="312" priority="378">
      <formula>OR(AND($D89="Finance",$E89="Even better cost management"),AND($D89="Finance",$E89="Improve Earnings"),AND($D89="Finance",$E89="Sales Growth"),AND($D89="Finance",$E89="Expansion"))</formula>
    </cfRule>
    <cfRule type="expression" dxfId="311" priority="375">
      <formula>OR(AND($D89="Employees &amp; Learning",$E89="Strong Talent Pipeline"),AND($D89="Employees &amp; Learning",$E89="Relevant Training"),AND($D89="Employees &amp; Learning",$E89="Great Store Management"),AND($D89="Employees &amp; Learning",$E89="Attractive Place to Work"))</formula>
    </cfRule>
  </conditionalFormatting>
  <conditionalFormatting sqref="E89:G135">
    <cfRule type="expression" dxfId="310" priority="479">
      <formula>$C89&lt;&gt;""</formula>
    </cfRule>
  </conditionalFormatting>
  <conditionalFormatting sqref="E31:O35">
    <cfRule type="expression" dxfId="309" priority="168">
      <formula>AND($C31&lt;&gt;"",ISERROR(FIND(".",$C31,1)))</formula>
    </cfRule>
  </conditionalFormatting>
  <conditionalFormatting sqref="F18:F35 H31:H35 F136:H162 F153:G168">
    <cfRule type="expression" dxfId="308" priority="167">
      <formula>LEN($C18)-LEN(SUBSTITUTE($C18,".",""))&gt;=2</formula>
    </cfRule>
  </conditionalFormatting>
  <conditionalFormatting sqref="F31:F35 H31:O35 H155:H162 F126:O154">
    <cfRule type="expression" dxfId="307" priority="163">
      <formula>$O31=1</formula>
    </cfRule>
  </conditionalFormatting>
  <conditionalFormatting sqref="F46">
    <cfRule type="expression" dxfId="306" priority="500">
      <formula>AND($C46&lt;&gt;"",ISERROR(FIND(".",$C46,1)))</formula>
    </cfRule>
  </conditionalFormatting>
  <conditionalFormatting sqref="F89">
    <cfRule type="expression" dxfId="305" priority="1748">
      <formula>LEN($C89)-LEN(SUBSTITUTE($C89,".",""))&gt;=2</formula>
    </cfRule>
    <cfRule type="expression" dxfId="304" priority="1750">
      <formula>AND($C89&lt;&gt;"",ISERROR(FIND(".",$C89,1)))</formula>
    </cfRule>
  </conditionalFormatting>
  <conditionalFormatting sqref="F89:F95 F97:F125 H30 H19:H21 F36:F46 H36:H55 G36:G62 H57:H73 H10:H17 H23:H27 F59:G73 F199:F200 H199:H325 F202:F204 F206:F208 F210:F212 F214:F216 F218:F220 F222:F224 F226:F228 F230:F232 F234:F236 F238:F240 F242:F244 F246:F248 F250:F252 F254:F256 F258:F260 F262:F264 F266:F268 F270:F272 F274:F276 F278:F280 F282:F284 F286:F288 F290:F292 F294:F296 F298:F300 F302:F304 F306:F308 F310:F312 F314:F316 F318:F320 F322:F324">
    <cfRule type="expression" dxfId="303" priority="1780">
      <formula>LEN($C10)-LEN(SUBSTITUTE($C10,".",""))&gt;=2</formula>
    </cfRule>
  </conditionalFormatting>
  <conditionalFormatting sqref="F93 F59:O63 F36:O45 F52:H52 J52:O52 F53:O57 F58:H58 J58:O58 F64:H64 J64:O64 F65:O68 F69:H69 J69:O69 F70:O73">
    <cfRule type="expression" dxfId="302" priority="1743">
      <formula>$O36=1</formula>
    </cfRule>
  </conditionalFormatting>
  <conditionalFormatting sqref="F93">
    <cfRule type="expression" dxfId="301" priority="1740">
      <formula>LEN($C93)-LEN(SUBSTITUTE($C93,".",""))&gt;=2</formula>
    </cfRule>
    <cfRule type="expression" dxfId="300" priority="1742">
      <formula>AND($C93&lt;&gt;"",ISERROR(FIND(".",$C93,1)))</formula>
    </cfRule>
  </conditionalFormatting>
  <conditionalFormatting sqref="F97">
    <cfRule type="expression" dxfId="299" priority="1735">
      <formula>$O97=1</formula>
    </cfRule>
    <cfRule type="expression" dxfId="298" priority="1734">
      <formula>AND($C97&lt;&gt;"",ISERROR(FIND(".",$C97,1)))</formula>
    </cfRule>
    <cfRule type="expression" dxfId="297" priority="1732">
      <formula>LEN($C97)-LEN(SUBSTITUTE($C97,".",""))&gt;=2</formula>
    </cfRule>
  </conditionalFormatting>
  <conditionalFormatting sqref="F101">
    <cfRule type="expression" dxfId="296" priority="1727">
      <formula>$O101=1</formula>
    </cfRule>
    <cfRule type="expression" dxfId="295" priority="1726">
      <formula>AND($C101&lt;&gt;"",ISERROR(FIND(".",$C101,1)))</formula>
    </cfRule>
    <cfRule type="expression" dxfId="294" priority="1724">
      <formula>LEN($C101)-LEN(SUBSTITUTE($C101,".",""))&gt;=2</formula>
    </cfRule>
  </conditionalFormatting>
  <conditionalFormatting sqref="F105">
    <cfRule type="expression" dxfId="293" priority="1718">
      <formula>AND($C105&lt;&gt;"",ISERROR(FIND(".",$C105,1)))</formula>
    </cfRule>
    <cfRule type="expression" dxfId="292" priority="1719">
      <formula>$O105=1</formula>
    </cfRule>
    <cfRule type="expression" dxfId="291" priority="1716">
      <formula>LEN($C105)-LEN(SUBSTITUTE($C105,".",""))&gt;=2</formula>
    </cfRule>
  </conditionalFormatting>
  <conditionalFormatting sqref="F109:F112">
    <cfRule type="expression" dxfId="290" priority="1711">
      <formula>$O109=1</formula>
    </cfRule>
  </conditionalFormatting>
  <conditionalFormatting sqref="F109:F125">
    <cfRule type="expression" dxfId="289" priority="567">
      <formula>AND($C109&lt;&gt;"",ISERROR(FIND(".",$C109,1)))</formula>
    </cfRule>
  </conditionalFormatting>
  <conditionalFormatting sqref="F125">
    <cfRule type="expression" dxfId="288" priority="568">
      <formula>$O125=1</formula>
    </cfRule>
  </conditionalFormatting>
  <conditionalFormatting sqref="F169">
    <cfRule type="expression" dxfId="287" priority="335">
      <formula>$O169=1</formula>
    </cfRule>
    <cfRule type="expression" dxfId="286" priority="334">
      <formula>AND($C169&lt;&gt;"",ISERROR(FIND(".",$C169,1)))</formula>
    </cfRule>
    <cfRule type="expression" dxfId="285" priority="333">
      <formula>LEN($C169)-LEN(SUBSTITUTE($C169,".",""))&gt;=2</formula>
    </cfRule>
  </conditionalFormatting>
  <conditionalFormatting sqref="F183">
    <cfRule type="expression" dxfId="284" priority="315">
      <formula>LEN($C183)-LEN(SUBSTITUTE($C183,".",""))&gt;=2</formula>
    </cfRule>
    <cfRule type="expression" dxfId="283" priority="316">
      <formula>AND($C183&lt;&gt;"",ISERROR(FIND(".",$C183,1)))</formula>
    </cfRule>
  </conditionalFormatting>
  <conditionalFormatting sqref="F183:F198">
    <cfRule type="expression" dxfId="282" priority="317">
      <formula>$O183=1</formula>
    </cfRule>
  </conditionalFormatting>
  <conditionalFormatting sqref="F202:F204 F206:F208 F210:F212 F214:F216 F218:F220 F222:F224 F226:F228 F230:F232 F234:F236 F238:F240 F242:F244 F246:F248 F250:F252 F254:F256 F258:F260 F262:F264 F266:F268 F270:F272 F274:F276 F278:F280 F282:F284 F286:F288 F290:F292 F294:F296 F298:F300 F302:F304 F306:F308 F310:F312 F314:F316 F318:F320 F322:F324 H26:K27 J28:K28 H29:K29 H165:H168">
    <cfRule type="expression" dxfId="281" priority="1860">
      <formula>$O26=1</formula>
    </cfRule>
  </conditionalFormatting>
  <conditionalFormatting sqref="F10:G29 H12:H17 J12:O17 L18:O24 H21:K21 I22:K22 H23:K24 L26:O29 F30 I30:O30 I89:O89 H90:O92 I93:O93 H94:O96 I97:O97 H98:O104 I105:O105 H106:O108 I109:O109 H110:O121 F117:G119 G122:O124 I125:O125 H184:I193 I194:I198 F199:O325">
    <cfRule type="expression" dxfId="280" priority="1858">
      <formula>$O10=1</formula>
    </cfRule>
  </conditionalFormatting>
  <conditionalFormatting sqref="F46:G47 J47:O47 H47 I46:O46">
    <cfRule type="expression" dxfId="279" priority="513">
      <formula>AND($C46&lt;&gt;"",ISERROR(FIND(".",$C46,1)))</formula>
    </cfRule>
  </conditionalFormatting>
  <conditionalFormatting sqref="F46:G51 G52 F53:G55 F56:H56 F57:G57 G58 G84 H125:H135">
    <cfRule type="expression" dxfId="278" priority="502">
      <formula>LEN($C46)-LEN(SUBSTITUTE($C46,".",""))&gt;=2</formula>
    </cfRule>
  </conditionalFormatting>
  <conditionalFormatting sqref="F46:G51 J47:O47 H48:O51">
    <cfRule type="expression" dxfId="277" priority="501">
      <formula>$O46=1</formula>
    </cfRule>
  </conditionalFormatting>
  <conditionalFormatting sqref="F89:G125">
    <cfRule type="expression" dxfId="276" priority="1751">
      <formula>$O89=1</formula>
    </cfRule>
  </conditionalFormatting>
  <conditionalFormatting sqref="F126:G135">
    <cfRule type="expression" dxfId="275" priority="429">
      <formula>LEN($C126)-LEN(SUBSTITUTE($C126,".",""))&gt;=2</formula>
    </cfRule>
  </conditionalFormatting>
  <conditionalFormatting sqref="F155:G181 G184:G201 H19 H20:K20 G155:O162 I163:O164 G165:O168 H170:O181 F182:O182">
    <cfRule type="expression" dxfId="274" priority="415">
      <formula>$O19=1</formula>
    </cfRule>
  </conditionalFormatting>
  <conditionalFormatting sqref="F195:G198">
    <cfRule type="expression" dxfId="273" priority="184">
      <formula>LEN($C195)-LEN(SUBSTITUTE($C195,".",""))&gt;=2</formula>
    </cfRule>
  </conditionalFormatting>
  <conditionalFormatting sqref="F74:H74 J74:O74 F75:O78 F79:H79 J79:O79 F84:H84 J84:O84 F85:O88 F80:O83">
    <cfRule type="expression" dxfId="272" priority="132">
      <formula>$O74=1</formula>
    </cfRule>
  </conditionalFormatting>
  <conditionalFormatting sqref="F74:H74 J74:O74 F75:O78">
    <cfRule type="expression" dxfId="271" priority="135">
      <formula>AND($C74&lt;&gt;"",ISERROR(FIND(".",$C74,1)))</formula>
    </cfRule>
  </conditionalFormatting>
  <conditionalFormatting sqref="F165:H182 F183:G194 F74:H83 G10 F10:F11 F14 H29 H84:H89 F85:G88">
    <cfRule type="expression" dxfId="270" priority="499">
      <formula>LEN($C10)-LEN(SUBSTITUTE($C10,".",""))&gt;=2</formula>
    </cfRule>
  </conditionalFormatting>
  <conditionalFormatting sqref="G30:G35">
    <cfRule type="expression" dxfId="269" priority="166">
      <formula>$O30=1</formula>
    </cfRule>
    <cfRule type="expression" dxfId="268" priority="164">
      <formula>LEN($C30)-LEN(SUBSTITUTE($C30,".",""))&gt;=2</formula>
    </cfRule>
    <cfRule type="expression" dxfId="267" priority="165">
      <formula>AND($C30&lt;&gt;"",ISERROR(FIND(".",$C30,1)))</formula>
    </cfRule>
  </conditionalFormatting>
  <conditionalFormatting sqref="G89:G116">
    <cfRule type="expression" dxfId="266" priority="1706">
      <formula>AND($C89&lt;&gt;"",ISERROR(FIND(".",$C89,1)))</formula>
    </cfRule>
  </conditionalFormatting>
  <conditionalFormatting sqref="G89:G148 F113:F125">
    <cfRule type="expression" dxfId="265" priority="566">
      <formula>LEN($C89)-LEN(SUBSTITUTE($C89,".",""))&gt;=2</formula>
    </cfRule>
  </conditionalFormatting>
  <conditionalFormatting sqref="G125">
    <cfRule type="expression" dxfId="264" priority="565">
      <formula>$O125=1</formula>
    </cfRule>
  </conditionalFormatting>
  <conditionalFormatting sqref="G184 J184:O184 I183:O183 J192:O198">
    <cfRule type="expression" dxfId="263" priority="325">
      <formula>AND($C183&lt;&gt;"",ISERROR(FIND(".",$C183,1)))</formula>
    </cfRule>
  </conditionalFormatting>
  <conditionalFormatting sqref="G184 J184:O185 J186:K188 L187:O187">
    <cfRule type="expression" dxfId="262" priority="318">
      <formula>$O184=1</formula>
    </cfRule>
  </conditionalFormatting>
  <conditionalFormatting sqref="G195:G198">
    <cfRule type="expression" dxfId="261" priority="115">
      <formula>LEN($C195)-LEN(SUBSTITUTE($C195,".",""))&gt;=2</formula>
    </cfRule>
  </conditionalFormatting>
  <conditionalFormatting sqref="G202 G206 G210 G214 G218 G222 G226 G230 G234 G238 G242 G246 G250 G254 G258 G262 G266 G270 G274 G278 G282 G286 G290 G294 G298 G302 G306 G310 G314 G318 G322 G30:H30">
    <cfRule type="expression" dxfId="260" priority="1859">
      <formula>$O30=1</formula>
    </cfRule>
  </conditionalFormatting>
  <conditionalFormatting sqref="G203:G205 G207:G209 G211:G213 G215:G217 G219:G221 G223:G225 G227:G229 G231:G233 G235:G237 G239:G241 G243:G245 G247:G249 G251:G253 G255:G257 G259:G261 G263:G265 G267:G269 G271:G273 G275:G277 G279:G281 G283:G285 G287:G289 G291:G293 G295:G297 G299:G301 G303:G305 G307:G309 G311:G313 G315:G317 G319:G321 G323:G325">
    <cfRule type="expression" dxfId="259" priority="1795">
      <formula>$O203=1</formula>
    </cfRule>
  </conditionalFormatting>
  <conditionalFormatting sqref="G30:H30 G202 G206 G210 G214 G218 G222 G226 G230 G234 G238 G242 G246 G250 G254 G258 G262 G266 G270 G274 G278 G282 G286 G290 G294 G298 G302 G306 G310 G314 G318 G322">
    <cfRule type="expression" dxfId="258" priority="1784">
      <formula>LEN($C30)-LEN(SUBSTITUTE($C30,".",""))&gt;=2</formula>
    </cfRule>
  </conditionalFormatting>
  <conditionalFormatting sqref="G30:H30">
    <cfRule type="expression" dxfId="257" priority="1787">
      <formula>AND($C30&lt;&gt;"",ISERROR(FIND(".",$C30,1)))</formula>
    </cfRule>
    <cfRule type="expression" dxfId="256" priority="1786">
      <formula>$C30&lt;&gt;""</formula>
    </cfRule>
  </conditionalFormatting>
  <conditionalFormatting sqref="G183:H183">
    <cfRule type="expression" dxfId="255" priority="303">
      <formula>$O183=1</formula>
    </cfRule>
    <cfRule type="expression" dxfId="254" priority="302">
      <formula>AND($C183&lt;&gt;"",ISERROR(FIND(".",$C183,1)))</formula>
    </cfRule>
    <cfRule type="expression" dxfId="253" priority="301">
      <formula>$O183=1</formula>
    </cfRule>
    <cfRule type="expression" dxfId="252" priority="300">
      <formula>AND($C183&lt;&gt;"",ISERROR(FIND(".",$C183,1)))</formula>
    </cfRule>
    <cfRule type="expression" dxfId="251" priority="299">
      <formula>$C183&lt;&gt;""</formula>
    </cfRule>
    <cfRule type="expression" dxfId="250" priority="298">
      <formula>LEN($C183)-LEN(SUBSTITUTE($C183,".",""))&gt;=2</formula>
    </cfRule>
  </conditionalFormatting>
  <conditionalFormatting sqref="H12:H13 H26:K27 F202:F204 F206:F208 F210:F212 F214:F216 F218:F220 F222:F224 F226:F228 F230:F232 F234:F236 F238:F240 F242:F244 F246:F248 F250:F252 F254:F256 F258:F260 F262:F264 F266:F268 F270:F272 F274:F276 F278:F280 F282:F284 F286:F288 F290:F292 F294:F296 F298:F300 F302:F304 F306:F308 F310:F312 F314:F316 F318:F320 F322:F324 H29:K29 H165:H168 F183:F198 J28:K28">
    <cfRule type="expression" dxfId="249" priority="1783">
      <formula>AND($C12&lt;&gt;"",ISERROR(FIND(".",$C12,1)))</formula>
    </cfRule>
  </conditionalFormatting>
  <conditionalFormatting sqref="H30">
    <cfRule type="expression" dxfId="248" priority="805">
      <formula>$C30&lt;&gt;""</formula>
    </cfRule>
    <cfRule type="expression" dxfId="247" priority="806">
      <formula>AND($C30&lt;&gt;"",ISERROR(FIND(".",$C30,1)))</formula>
    </cfRule>
    <cfRule type="expression" dxfId="246" priority="807">
      <formula>$O30=1</formula>
    </cfRule>
  </conditionalFormatting>
  <conditionalFormatting sqref="H46">
    <cfRule type="expression" dxfId="245" priority="485">
      <formula>AND($C46&lt;&gt;"",ISERROR(FIND(".",$C46,1)))</formula>
    </cfRule>
    <cfRule type="expression" dxfId="244" priority="486">
      <formula>$O46=1</formula>
    </cfRule>
    <cfRule type="expression" dxfId="243" priority="487">
      <formula>AND($C46&lt;&gt;"",ISERROR(FIND(".",$C46,1)))</formula>
    </cfRule>
  </conditionalFormatting>
  <conditionalFormatting sqref="H46:H47 J47:O47 H48:O51 H52 J52:O52 H53:O57 H58 J58:O58 H59:O62">
    <cfRule type="expression" dxfId="242" priority="468">
      <formula>$C46&lt;&gt;""</formula>
    </cfRule>
  </conditionalFormatting>
  <conditionalFormatting sqref="H46:H47">
    <cfRule type="expression" dxfId="241" priority="488">
      <formula>$O46=1</formula>
    </cfRule>
  </conditionalFormatting>
  <conditionalFormatting sqref="H63">
    <cfRule type="expression" dxfId="240" priority="467">
      <formula>AND($C63&lt;&gt;"",ISERROR(FIND(".",$C63,1)))</formula>
    </cfRule>
    <cfRule type="expression" dxfId="239" priority="465">
      <formula>$C63&lt;&gt;""</formula>
    </cfRule>
    <cfRule type="expression" dxfId="238" priority="466">
      <formula>LEN($C63)-LEN(SUBSTITUTE($C63,".",""))&gt;=2</formula>
    </cfRule>
    <cfRule type="expression" dxfId="237" priority="481">
      <formula>AND($C63&lt;&gt;"",ISERROR(FIND(".",$C63,1)))</formula>
    </cfRule>
    <cfRule type="expression" dxfId="236" priority="482">
      <formula>$O63=1</formula>
    </cfRule>
    <cfRule type="expression" dxfId="235" priority="480">
      <formula>LEN($C63)-LEN(SUBSTITUTE($C63,".",""))&gt;=2</formula>
    </cfRule>
  </conditionalFormatting>
  <conditionalFormatting sqref="H89">
    <cfRule type="expression" dxfId="234" priority="751">
      <formula>$O89=1</formula>
    </cfRule>
    <cfRule type="expression" dxfId="233" priority="750">
      <formula>AND($C89&lt;&gt;"",ISERROR(FIND(".",$C89,1)))</formula>
    </cfRule>
    <cfRule type="expression" dxfId="232" priority="749">
      <formula>$C89&lt;&gt;""</formula>
    </cfRule>
    <cfRule type="expression" dxfId="231" priority="755">
      <formula>$O89=1</formula>
    </cfRule>
    <cfRule type="expression" dxfId="230" priority="754">
      <formula>AND($C89&lt;&gt;"",ISERROR(FIND(".",$C89,1)))</formula>
    </cfRule>
  </conditionalFormatting>
  <conditionalFormatting sqref="H89:H92">
    <cfRule type="expression" dxfId="229" priority="752">
      <formula>LEN($C89)-LEN(SUBSTITUTE($C89,".",""))&gt;=2</formula>
    </cfRule>
  </conditionalFormatting>
  <conditionalFormatting sqref="H93">
    <cfRule type="expression" dxfId="228" priority="740">
      <formula>LEN($C93)-LEN(SUBSTITUTE($C93,".",""))&gt;=2</formula>
    </cfRule>
    <cfRule type="expression" dxfId="227" priority="743">
      <formula>$O93=1</formula>
    </cfRule>
    <cfRule type="expression" dxfId="226" priority="742">
      <formula>AND($C93&lt;&gt;"",ISERROR(FIND(".",$C93,1)))</formula>
    </cfRule>
    <cfRule type="expression" dxfId="225" priority="747">
      <formula>$O93=1</formula>
    </cfRule>
    <cfRule type="expression" dxfId="224" priority="741">
      <formula>$C93&lt;&gt;""</formula>
    </cfRule>
    <cfRule type="expression" dxfId="223" priority="746">
      <formula>AND($C93&lt;&gt;"",ISERROR(FIND(".",$C93,1)))</formula>
    </cfRule>
  </conditionalFormatting>
  <conditionalFormatting sqref="H93:H96">
    <cfRule type="expression" dxfId="222" priority="744">
      <formula>LEN($C93)-LEN(SUBSTITUTE($C93,".",""))&gt;=2</formula>
    </cfRule>
  </conditionalFormatting>
  <conditionalFormatting sqref="H97">
    <cfRule type="expression" dxfId="221" priority="735">
      <formula>$O97=1</formula>
    </cfRule>
    <cfRule type="expression" dxfId="220" priority="734">
      <formula>AND($C97&lt;&gt;"",ISERROR(FIND(".",$C97,1)))</formula>
    </cfRule>
    <cfRule type="expression" dxfId="219" priority="738">
      <formula>AND($C97&lt;&gt;"",ISERROR(FIND(".",$C97,1)))</formula>
    </cfRule>
    <cfRule type="expression" dxfId="218" priority="739">
      <formula>$O97=1</formula>
    </cfRule>
    <cfRule type="expression" dxfId="217" priority="732">
      <formula>LEN($C97)-LEN(SUBSTITUTE($C97,".",""))&gt;=2</formula>
    </cfRule>
    <cfRule type="expression" dxfId="216" priority="733">
      <formula>$C97&lt;&gt;""</formula>
    </cfRule>
  </conditionalFormatting>
  <conditionalFormatting sqref="H97:H100">
    <cfRule type="expression" dxfId="215" priority="736">
      <formula>LEN($C97)-LEN(SUBSTITUTE($C97,".",""))&gt;=2</formula>
    </cfRule>
  </conditionalFormatting>
  <conditionalFormatting sqref="H101">
    <cfRule type="expression" dxfId="214" priority="590">
      <formula>$C101&lt;&gt;""</formula>
    </cfRule>
    <cfRule type="expression" dxfId="213" priority="591">
      <formula>LEN($C101)-LEN(SUBSTITUTE($C101,".",""))&gt;=2</formula>
    </cfRule>
    <cfRule type="expression" dxfId="212" priority="596">
      <formula>$O101=1</formula>
    </cfRule>
    <cfRule type="expression" dxfId="211" priority="594">
      <formula>LEN($C101)-LEN(SUBSTITUTE($C101,".",""))&gt;=2</formula>
    </cfRule>
    <cfRule type="expression" dxfId="210" priority="595">
      <formula>AND($C101&lt;&gt;"",ISERROR(FIND(".",$C101,1)))</formula>
    </cfRule>
    <cfRule type="expression" dxfId="209" priority="593">
      <formula>$O101=1</formula>
    </cfRule>
    <cfRule type="expression" dxfId="208" priority="592">
      <formula>AND($C101&lt;&gt;"",ISERROR(FIND(".",$C101,1)))</formula>
    </cfRule>
  </conditionalFormatting>
  <conditionalFormatting sqref="H102:H105">
    <cfRule type="expression" dxfId="207" priority="720">
      <formula>LEN($C102)-LEN(SUBSTITUTE($C102,".",""))&gt;=2</formula>
    </cfRule>
  </conditionalFormatting>
  <conditionalFormatting sqref="H105">
    <cfRule type="expression" dxfId="206" priority="722">
      <formula>AND($C105&lt;&gt;"",ISERROR(FIND(".",$C105,1)))</formula>
    </cfRule>
    <cfRule type="expression" dxfId="205" priority="718">
      <formula>AND($C105&lt;&gt;"",ISERROR(FIND(".",$C105,1)))</formula>
    </cfRule>
    <cfRule type="expression" dxfId="204" priority="716">
      <formula>LEN($C105)-LEN(SUBSTITUTE($C105,".",""))&gt;=2</formula>
    </cfRule>
    <cfRule type="expression" dxfId="203" priority="717">
      <formula>$C105&lt;&gt;""</formula>
    </cfRule>
    <cfRule type="expression" dxfId="202" priority="723">
      <formula>$O105=1</formula>
    </cfRule>
    <cfRule type="expression" dxfId="201" priority="719">
      <formula>$O105=1</formula>
    </cfRule>
  </conditionalFormatting>
  <conditionalFormatting sqref="H106:H112">
    <cfRule type="expression" dxfId="200" priority="768">
      <formula>LEN($C106)-LEN(SUBSTITUTE($C106,".",""))&gt;=2</formula>
    </cfRule>
  </conditionalFormatting>
  <conditionalFormatting sqref="H109">
    <cfRule type="expression" dxfId="199" priority="764">
      <formula>LEN($C109)-LEN(SUBSTITUTE($C109,".",""))&gt;=2</formula>
    </cfRule>
    <cfRule type="expression" dxfId="198" priority="765">
      <formula>$C109&lt;&gt;""</formula>
    </cfRule>
    <cfRule type="expression" dxfId="197" priority="766">
      <formula>AND($C109&lt;&gt;"",ISERROR(FIND(".",$C109,1)))</formula>
    </cfRule>
    <cfRule type="expression" dxfId="196" priority="767">
      <formula>$O109=1</formula>
    </cfRule>
    <cfRule type="expression" dxfId="195" priority="770">
      <formula>AND($C109&lt;&gt;"",ISERROR(FIND(".",$C109,1)))</formula>
    </cfRule>
    <cfRule type="expression" dxfId="194" priority="771">
      <formula>$O109=1</formula>
    </cfRule>
  </conditionalFormatting>
  <conditionalFormatting sqref="H113">
    <cfRule type="expression" dxfId="193" priority="589">
      <formula>$O113=1</formula>
    </cfRule>
    <cfRule type="expression" dxfId="192" priority="587">
      <formula>LEN($C113)-LEN(SUBSTITUTE($C113,".",""))&gt;=2</formula>
    </cfRule>
    <cfRule type="expression" dxfId="191" priority="583">
      <formula>$C113&lt;&gt;""</formula>
    </cfRule>
    <cfRule type="expression" dxfId="190" priority="584">
      <formula>LEN($C113)-LEN(SUBSTITUTE($C113,".",""))&gt;=2</formula>
    </cfRule>
    <cfRule type="expression" dxfId="189" priority="585">
      <formula>AND($C113&lt;&gt;"",ISERROR(FIND(".",$C113,1)))</formula>
    </cfRule>
    <cfRule type="expression" dxfId="188" priority="586">
      <formula>$O113=1</formula>
    </cfRule>
    <cfRule type="expression" dxfId="187" priority="588">
      <formula>AND($C113&lt;&gt;"",ISERROR(FIND(".",$C113,1)))</formula>
    </cfRule>
  </conditionalFormatting>
  <conditionalFormatting sqref="H114:H120">
    <cfRule type="expression" dxfId="186" priority="664">
      <formula>LEN($C114)-LEN(SUBSTITUTE($C114,".",""))&gt;=2</formula>
    </cfRule>
  </conditionalFormatting>
  <conditionalFormatting sqref="H117">
    <cfRule type="expression" dxfId="185" priority="626">
      <formula>AND($C117&lt;&gt;"",ISERROR(FIND(".",$C117,1)))</formula>
    </cfRule>
    <cfRule type="expression" dxfId="184" priority="624">
      <formula>LEN($C117)-LEN(SUBSTITUTE($C117,".",""))&gt;=2</formula>
    </cfRule>
    <cfRule type="expression" dxfId="183" priority="576">
      <formula>LEN($C117)-LEN(SUBSTITUTE($C117,".",""))&gt;=2</formula>
    </cfRule>
    <cfRule type="expression" dxfId="182" priority="578">
      <formula>$O117=1</formula>
    </cfRule>
    <cfRule type="expression" dxfId="181" priority="582">
      <formula>$O117=1</formula>
    </cfRule>
    <cfRule type="expression" dxfId="180" priority="581">
      <formula>AND($C117&lt;&gt;"",ISERROR(FIND(".",$C117,1)))</formula>
    </cfRule>
    <cfRule type="expression" dxfId="179" priority="580">
      <formula>LEN($C117)-LEN(SUBSTITUTE($C117,".",""))&gt;=2</formula>
    </cfRule>
    <cfRule type="expression" dxfId="178" priority="577">
      <formula>AND($C117&lt;&gt;"",ISERROR(FIND(".",$C117,1)))</formula>
    </cfRule>
    <cfRule type="expression" dxfId="177" priority="627">
      <formula>$O117=1</formula>
    </cfRule>
    <cfRule type="expression" dxfId="176" priority="575">
      <formula>$C117&lt;&gt;""</formula>
    </cfRule>
  </conditionalFormatting>
  <conditionalFormatting sqref="H121">
    <cfRule type="expression" dxfId="175" priority="570">
      <formula>LEN($C121)-LEN(SUBSTITUTE($C121,".",""))&gt;=2</formula>
    </cfRule>
    <cfRule type="expression" dxfId="174" priority="569">
      <formula>$C121&lt;&gt;""</formula>
    </cfRule>
    <cfRule type="expression" dxfId="173" priority="571">
      <formula>AND($C121&lt;&gt;"",ISERROR(FIND(".",$C121,1)))</formula>
    </cfRule>
    <cfRule type="expression" dxfId="172" priority="572">
      <formula>$O121=1</formula>
    </cfRule>
    <cfRule type="expression" dxfId="171" priority="574">
      <formula>AND($C121&lt;&gt;"",ISERROR(FIND(".",$C121,1)))</formula>
    </cfRule>
  </conditionalFormatting>
  <conditionalFormatting sqref="H121:H124">
    <cfRule type="expression" dxfId="170" priority="573">
      <formula>LEN($C121)-LEN(SUBSTITUTE($C121,".",""))&gt;=2</formula>
    </cfRule>
  </conditionalFormatting>
  <conditionalFormatting sqref="H125">
    <cfRule type="expression" dxfId="169" priority="557">
      <formula>AND($C125&lt;&gt;"",ISERROR(FIND(".",$C125,1)))</formula>
    </cfRule>
    <cfRule type="expression" dxfId="168" priority="558">
      <formula>$O125=1</formula>
    </cfRule>
    <cfRule type="expression" dxfId="167" priority="559">
      <formula>LEN($C125)-LEN(SUBSTITUTE($C125,".",""))&gt;=2</formula>
    </cfRule>
    <cfRule type="expression" dxfId="166" priority="560">
      <formula>AND($C125&lt;&gt;"",ISERROR(FIND(".",$C125,1)))</formula>
    </cfRule>
    <cfRule type="expression" dxfId="165" priority="561">
      <formula>$O125=1</formula>
    </cfRule>
    <cfRule type="expression" dxfId="164" priority="556">
      <formula>$C125&lt;&gt;""</formula>
    </cfRule>
  </conditionalFormatting>
  <conditionalFormatting sqref="H163:H164">
    <cfRule type="expression" dxfId="163" priority="1862">
      <formula>$O164=1</formula>
    </cfRule>
    <cfRule type="expression" dxfId="162" priority="1866">
      <formula>LEN($C164)-LEN(SUBSTITUTE($C164,".",""))&gt;=2</formula>
    </cfRule>
    <cfRule type="expression" dxfId="161" priority="1870">
      <formula>AND($C164&lt;&gt;"",ISERROR(FIND(".",$C164,1)))</formula>
    </cfRule>
    <cfRule type="expression" dxfId="160" priority="1874">
      <formula>$C164&lt;&gt;""</formula>
    </cfRule>
    <cfRule type="expression" dxfId="159" priority="1876">
      <formula>$O164=1</formula>
    </cfRule>
  </conditionalFormatting>
  <conditionalFormatting sqref="H165:H169">
    <cfRule type="expression" dxfId="158" priority="331">
      <formula>$C165&lt;&gt;""</formula>
    </cfRule>
  </conditionalFormatting>
  <conditionalFormatting sqref="H169">
    <cfRule type="expression" dxfId="157" priority="329">
      <formula>AND($C169&lt;&gt;"",ISERROR(FIND(".",$C169,1)))</formula>
    </cfRule>
    <cfRule type="expression" dxfId="156" priority="330">
      <formula>$O169=1</formula>
    </cfRule>
    <cfRule type="expression" dxfId="155" priority="328">
      <formula>LEN($C169)-LEN(SUBSTITUTE($C169,".",""))&gt;=2</formula>
    </cfRule>
  </conditionalFormatting>
  <conditionalFormatting sqref="H183:H193">
    <cfRule type="expression" dxfId="154" priority="304">
      <formula>LEN($C183)-LEN(SUBSTITUTE($C183,".",""))&gt;=2</formula>
    </cfRule>
  </conditionalFormatting>
  <conditionalFormatting sqref="H194 H197:H198">
    <cfRule type="expression" dxfId="153" priority="191">
      <formula>#REF!=1</formula>
    </cfRule>
    <cfRule type="expression" dxfId="152" priority="190">
      <formula>AND(#REF!&lt;&gt;"",ISERROR(FIND(".",#REF!,1)))</formula>
    </cfRule>
    <cfRule type="expression" dxfId="151" priority="192">
      <formula>LEN(#REF!)-LEN(SUBSTITUTE(#REF!,".",""))&gt;=2</formula>
    </cfRule>
  </conditionalFormatting>
  <conditionalFormatting sqref="H194">
    <cfRule type="expression" dxfId="150" priority="189">
      <formula>#REF!&lt;&gt;""</formula>
    </cfRule>
  </conditionalFormatting>
  <conditionalFormatting sqref="H196">
    <cfRule type="expression" dxfId="149" priority="186">
      <formula>AND(#REF!&lt;&gt;"",ISERROR(FIND(".",#REF!,1)))</formula>
    </cfRule>
    <cfRule type="expression" dxfId="148" priority="187">
      <formula>#REF!=1</formula>
    </cfRule>
    <cfRule type="expression" dxfId="147" priority="188">
      <formula>LEN(#REF!)-LEN(SUBSTITUTE(#REF!,".",""))&gt;=2</formula>
    </cfRule>
  </conditionalFormatting>
  <conditionalFormatting sqref="H196:H198">
    <cfRule type="expression" dxfId="146" priority="185">
      <formula>#REF!&lt;&gt;""</formula>
    </cfRule>
  </conditionalFormatting>
  <conditionalFormatting sqref="H197:H198">
    <cfRule type="expression" dxfId="145" priority="195">
      <formula>AND(#REF!&lt;&gt;"",ISERROR(FIND(".",#REF!,1)))</formula>
    </cfRule>
  </conditionalFormatting>
  <conditionalFormatting sqref="H19:K19 H20 J18:K18">
    <cfRule type="expression" dxfId="144" priority="543">
      <formula>AND($C18&lt;&gt;"",ISERROR(FIND(".",$C18,1)))</formula>
    </cfRule>
  </conditionalFormatting>
  <conditionalFormatting sqref="H26:K27 J28:K28 H29:K29 F202:F204 F206:F208 F210:F212 F214:F216 F218:F220 F222:F224 F226:F228 F230:F232 F234:F236 F238:F240 F242:F244 F246:F248 F250:F252 F254:F256 F258:F260 F262:F264 F266:F268 F270:F272 F274:F276 F278:F280 F282:F284 F286:F288 F290:F292 F294:F296 F298:F300 F302:F304 F306:F308 F310:F312 F314:F316 F318:F320 F322:F324">
    <cfRule type="expression" dxfId="143" priority="1782">
      <formula>$C26&lt;&gt;""</formula>
    </cfRule>
  </conditionalFormatting>
  <conditionalFormatting sqref="H10:O11 H25 J25:O25 I46:O46">
    <cfRule type="expression" dxfId="142" priority="506">
      <formula>$C10&lt;&gt;""</formula>
    </cfRule>
  </conditionalFormatting>
  <conditionalFormatting sqref="H126:O135 E136:O136 H137:O151">
    <cfRule type="expression" dxfId="141" priority="430">
      <formula>$C126&lt;&gt;""</formula>
    </cfRule>
  </conditionalFormatting>
  <conditionalFormatting sqref="I12:I18">
    <cfRule type="expression" dxfId="140" priority="183">
      <formula>$O12=1</formula>
    </cfRule>
    <cfRule type="expression" dxfId="139" priority="182">
      <formula>AND($C12&lt;&gt;"",ISERROR(FIND(".",$C12,1)))</formula>
    </cfRule>
    <cfRule type="expression" dxfId="138" priority="181">
      <formula>$C12&lt;&gt;""</formula>
    </cfRule>
  </conditionalFormatting>
  <conditionalFormatting sqref="I25">
    <cfRule type="expression" dxfId="137" priority="173">
      <formula>AND($C25&lt;&gt;"",ISERROR(FIND(".",$C25,1)))</formula>
    </cfRule>
    <cfRule type="expression" dxfId="136" priority="174">
      <formula>$O25=1</formula>
    </cfRule>
    <cfRule type="expression" dxfId="135" priority="172">
      <formula>$C25&lt;&gt;""</formula>
    </cfRule>
  </conditionalFormatting>
  <conditionalFormatting sqref="I28">
    <cfRule type="expression" dxfId="134" priority="169">
      <formula>$C28&lt;&gt;""</formula>
    </cfRule>
    <cfRule type="expression" dxfId="133" priority="171">
      <formula>$O28=1</formula>
    </cfRule>
    <cfRule type="expression" dxfId="132" priority="170">
      <formula>AND($C28&lt;&gt;"",ISERROR(FIND(".",$C28,1)))</formula>
    </cfRule>
  </conditionalFormatting>
  <conditionalFormatting sqref="I46:O46 H10:O11 H25 J25:O25">
    <cfRule type="expression" dxfId="131" priority="514">
      <formula>$O10=1</formula>
    </cfRule>
  </conditionalFormatting>
  <conditionalFormatting sqref="I169:O169">
    <cfRule type="expression" dxfId="130" priority="373">
      <formula>$O169=1</formula>
    </cfRule>
  </conditionalFormatting>
  <conditionalFormatting sqref="I183:O183 J189:O198 K186:O186">
    <cfRule type="expression" dxfId="129" priority="326">
      <formula>$O183=1</formula>
    </cfRule>
  </conditionalFormatting>
  <conditionalFormatting sqref="I183:O183">
    <cfRule type="expression" dxfId="128" priority="323">
      <formula>$C183&lt;&gt;""</formula>
    </cfRule>
  </conditionalFormatting>
  <conditionalFormatting sqref="J18:K18 H19:K19 H20">
    <cfRule type="expression" dxfId="127" priority="544">
      <formula>$O18=1</formula>
    </cfRule>
  </conditionalFormatting>
  <conditionalFormatting sqref="K188:O188">
    <cfRule type="expression" dxfId="126" priority="278">
      <formula>$O188=1</formula>
    </cfRule>
  </conditionalFormatting>
  <conditionalFormatting sqref="L57:M57">
    <cfRule type="expression" dxfId="125" priority="4">
      <formula>$O57=1</formula>
    </cfRule>
  </conditionalFormatting>
  <conditionalFormatting sqref="L62:M62">
    <cfRule type="expression" dxfId="124" priority="3">
      <formula>$O62=1</formula>
    </cfRule>
  </conditionalFormatting>
  <conditionalFormatting sqref="O10:O30 O46:O83">
    <cfRule type="dataBar" priority="1843">
      <dataBar>
        <cfvo type="num" val="0"/>
        <cfvo type="num" val="1"/>
        <color rgb="FF63C384"/>
      </dataBar>
      <extLst>
        <ext xmlns:x14="http://schemas.microsoft.com/office/spreadsheetml/2009/9/main" uri="{B025F937-C7B1-47D3-B67F-A62EFF666E3E}">
          <x14:id>{919C6366-DEF3-44AB-A4AA-69CCE05E293E}</x14:id>
        </ext>
      </extLst>
    </cfRule>
  </conditionalFormatting>
  <conditionalFormatting sqref="O31:O35 O84:O325">
    <cfRule type="dataBar" priority="162">
      <dataBar>
        <cfvo type="num" val="0"/>
        <cfvo type="num" val="1"/>
        <color rgb="FF63C384"/>
      </dataBar>
      <extLst>
        <ext xmlns:x14="http://schemas.microsoft.com/office/spreadsheetml/2009/9/main" uri="{B025F937-C7B1-47D3-B67F-A62EFF666E3E}">
          <x14:id>{74336E70-8812-4AC5-AA80-13ED27EDBBD8}</x14:id>
        </ext>
      </extLst>
    </cfRule>
  </conditionalFormatting>
  <conditionalFormatting sqref="O36:O45">
    <cfRule type="dataBar" priority="408">
      <dataBar>
        <cfvo type="num" val="0"/>
        <cfvo type="num" val="1"/>
        <color rgb="FF63C384"/>
      </dataBar>
      <extLst>
        <ext xmlns:x14="http://schemas.microsoft.com/office/spreadsheetml/2009/9/main" uri="{B025F937-C7B1-47D3-B67F-A62EFF666E3E}">
          <x14:id>{C2E505C5-EF61-492E-ABDA-F8DCFE04D1F6}</x14:id>
        </ext>
      </extLst>
    </cfRule>
  </conditionalFormatting>
  <conditionalFormatting sqref="O74:O78">
    <cfRule type="dataBar" priority="134">
      <dataBar>
        <cfvo type="num" val="0"/>
        <cfvo type="num" val="1"/>
        <color rgb="FF63C384"/>
      </dataBar>
      <extLst>
        <ext xmlns:x14="http://schemas.microsoft.com/office/spreadsheetml/2009/9/main" uri="{B025F937-C7B1-47D3-B67F-A62EFF666E3E}">
          <x14:id>{1B7DF4D6-F3EF-4818-AADD-DB0F46603485}</x14:id>
        </ext>
      </extLst>
    </cfRule>
  </conditionalFormatting>
  <conditionalFormatting sqref="P37 R185:BP185 Q186:BP325 Q50:BP184">
    <cfRule type="cellIs" dxfId="123" priority="109" operator="equal">
      <formula>5</formula>
    </cfRule>
    <cfRule type="cellIs" dxfId="122" priority="108" operator="equal">
      <formula>4</formula>
    </cfRule>
    <cfRule type="cellIs" dxfId="121" priority="105" operator="equal">
      <formula>1</formula>
    </cfRule>
    <cfRule type="cellIs" dxfId="120" priority="106" operator="equal">
      <formula>2</formula>
    </cfRule>
    <cfRule type="cellIs" dxfId="119" priority="107" operator="equal">
      <formula>3</formula>
    </cfRule>
  </conditionalFormatting>
  <conditionalFormatting sqref="P42">
    <cfRule type="cellIs" dxfId="118" priority="104" operator="equal">
      <formula>5</formula>
    </cfRule>
    <cfRule type="cellIs" dxfId="117" priority="100" operator="equal">
      <formula>1</formula>
    </cfRule>
    <cfRule type="cellIs" dxfId="116" priority="102" operator="equal">
      <formula>3</formula>
    </cfRule>
    <cfRule type="cellIs" dxfId="115" priority="103" operator="equal">
      <formula>4</formula>
    </cfRule>
    <cfRule type="cellIs" dxfId="114" priority="101" operator="equal">
      <formula>2</formula>
    </cfRule>
  </conditionalFormatting>
  <conditionalFormatting sqref="P53">
    <cfRule type="cellIs" dxfId="113" priority="95" operator="equal">
      <formula>1</formula>
    </cfRule>
    <cfRule type="cellIs" dxfId="112" priority="96" operator="equal">
      <formula>2</formula>
    </cfRule>
    <cfRule type="cellIs" dxfId="111" priority="99" operator="equal">
      <formula>5</formula>
    </cfRule>
    <cfRule type="cellIs" dxfId="110" priority="97" operator="equal">
      <formula>3</formula>
    </cfRule>
    <cfRule type="cellIs" dxfId="109" priority="98" operator="equal">
      <formula>4</formula>
    </cfRule>
  </conditionalFormatting>
  <conditionalFormatting sqref="P59">
    <cfRule type="cellIs" dxfId="108" priority="94" operator="equal">
      <formula>5</formula>
    </cfRule>
    <cfRule type="cellIs" dxfId="107" priority="93" operator="equal">
      <formula>4</formula>
    </cfRule>
    <cfRule type="cellIs" dxfId="106" priority="92" operator="equal">
      <formula>3</formula>
    </cfRule>
    <cfRule type="cellIs" dxfId="105" priority="91" operator="equal">
      <formula>2</formula>
    </cfRule>
    <cfRule type="cellIs" dxfId="104" priority="90" operator="equal">
      <formula>1</formula>
    </cfRule>
  </conditionalFormatting>
  <conditionalFormatting sqref="P65">
    <cfRule type="cellIs" dxfId="103" priority="88" operator="equal">
      <formula>4</formula>
    </cfRule>
    <cfRule type="cellIs" dxfId="102" priority="87" operator="equal">
      <formula>3</formula>
    </cfRule>
    <cfRule type="cellIs" dxfId="101" priority="86" operator="equal">
      <formula>2</formula>
    </cfRule>
    <cfRule type="cellIs" dxfId="100" priority="85" operator="equal">
      <formula>1</formula>
    </cfRule>
    <cfRule type="cellIs" dxfId="99" priority="89" operator="equal">
      <formula>5</formula>
    </cfRule>
  </conditionalFormatting>
  <conditionalFormatting sqref="P80">
    <cfRule type="cellIs" dxfId="98" priority="84" operator="equal">
      <formula>5</formula>
    </cfRule>
    <cfRule type="cellIs" dxfId="97" priority="80" operator="equal">
      <formula>1</formula>
    </cfRule>
    <cfRule type="cellIs" dxfId="96" priority="81" operator="equal">
      <formula>2</formula>
    </cfRule>
    <cfRule type="cellIs" dxfId="95" priority="83" operator="equal">
      <formula>4</formula>
    </cfRule>
    <cfRule type="cellIs" dxfId="94" priority="82" operator="equal">
      <formula>3</formula>
    </cfRule>
  </conditionalFormatting>
  <conditionalFormatting sqref="P85">
    <cfRule type="cellIs" dxfId="93" priority="79" operator="equal">
      <formula>5</formula>
    </cfRule>
    <cfRule type="cellIs" dxfId="92" priority="78" operator="equal">
      <formula>4</formula>
    </cfRule>
    <cfRule type="cellIs" dxfId="91" priority="77" operator="equal">
      <formula>3</formula>
    </cfRule>
    <cfRule type="cellIs" dxfId="90" priority="76" operator="equal">
      <formula>2</formula>
    </cfRule>
    <cfRule type="cellIs" dxfId="89" priority="75" operator="equal">
      <formula>1</formula>
    </cfRule>
  </conditionalFormatting>
  <conditionalFormatting sqref="P127:P132">
    <cfRule type="cellIs" dxfId="88" priority="74" operator="equal">
      <formula>5</formula>
    </cfRule>
    <cfRule type="cellIs" dxfId="87" priority="73" operator="equal">
      <formula>4</formula>
    </cfRule>
    <cfRule type="cellIs" dxfId="86" priority="72" operator="equal">
      <formula>3</formula>
    </cfRule>
    <cfRule type="cellIs" dxfId="85" priority="71" operator="equal">
      <formula>2</formula>
    </cfRule>
    <cfRule type="cellIs" dxfId="84" priority="70" operator="equal">
      <formula>1</formula>
    </cfRule>
  </conditionalFormatting>
  <conditionalFormatting sqref="P134:P137">
    <cfRule type="cellIs" dxfId="83" priority="58" operator="equal">
      <formula>4</formula>
    </cfRule>
    <cfRule type="cellIs" dxfId="82" priority="59" operator="equal">
      <formula>5</formula>
    </cfRule>
    <cfRule type="cellIs" dxfId="81" priority="57" operator="equal">
      <formula>3</formula>
    </cfRule>
    <cfRule type="cellIs" dxfId="80" priority="56" operator="equal">
      <formula>2</formula>
    </cfRule>
    <cfRule type="cellIs" dxfId="79" priority="55" operator="equal">
      <formula>1</formula>
    </cfRule>
  </conditionalFormatting>
  <conditionalFormatting sqref="P139">
    <cfRule type="cellIs" dxfId="78" priority="54" operator="equal">
      <formula>5</formula>
    </cfRule>
    <cfRule type="cellIs" dxfId="77" priority="53" operator="equal">
      <formula>4</formula>
    </cfRule>
    <cfRule type="cellIs" dxfId="76" priority="52" operator="equal">
      <formula>3</formula>
    </cfRule>
    <cfRule type="cellIs" dxfId="75" priority="51" operator="equal">
      <formula>2</formula>
    </cfRule>
    <cfRule type="cellIs" dxfId="74" priority="50" operator="equal">
      <formula>1</formula>
    </cfRule>
  </conditionalFormatting>
  <conditionalFormatting sqref="P155">
    <cfRule type="cellIs" dxfId="73" priority="46" operator="equal">
      <formula>2</formula>
    </cfRule>
    <cfRule type="cellIs" dxfId="72" priority="45" operator="equal">
      <formula>1</formula>
    </cfRule>
    <cfRule type="cellIs" dxfId="71" priority="49" operator="equal">
      <formula>5</formula>
    </cfRule>
    <cfRule type="cellIs" dxfId="70" priority="48" operator="equal">
      <formula>4</formula>
    </cfRule>
    <cfRule type="cellIs" dxfId="69" priority="47" operator="equal">
      <formula>3</formula>
    </cfRule>
  </conditionalFormatting>
  <conditionalFormatting sqref="P160">
    <cfRule type="cellIs" dxfId="68" priority="43" operator="equal">
      <formula>4</formula>
    </cfRule>
    <cfRule type="cellIs" dxfId="67" priority="42" operator="equal">
      <formula>3</formula>
    </cfRule>
    <cfRule type="cellIs" dxfId="66" priority="41" operator="equal">
      <formula>2</formula>
    </cfRule>
    <cfRule type="cellIs" dxfId="65" priority="44" operator="equal">
      <formula>5</formula>
    </cfRule>
    <cfRule type="cellIs" dxfId="64" priority="40" operator="equal">
      <formula>1</formula>
    </cfRule>
  </conditionalFormatting>
  <conditionalFormatting sqref="P166">
    <cfRule type="cellIs" dxfId="63" priority="38" operator="equal">
      <formula>4</formula>
    </cfRule>
    <cfRule type="cellIs" dxfId="62" priority="37" operator="equal">
      <formula>3</formula>
    </cfRule>
    <cfRule type="cellIs" dxfId="61" priority="36" operator="equal">
      <formula>2</formula>
    </cfRule>
    <cfRule type="cellIs" dxfId="60" priority="35" operator="equal">
      <formula>1</formula>
    </cfRule>
    <cfRule type="cellIs" dxfId="59" priority="39" operator="equal">
      <formula>5</formula>
    </cfRule>
  </conditionalFormatting>
  <conditionalFormatting sqref="P171">
    <cfRule type="cellIs" dxfId="58" priority="32" operator="equal">
      <formula>3</formula>
    </cfRule>
    <cfRule type="cellIs" dxfId="57" priority="30" operator="equal">
      <formula>1</formula>
    </cfRule>
    <cfRule type="cellIs" dxfId="56" priority="31" operator="equal">
      <formula>2</formula>
    </cfRule>
    <cfRule type="cellIs" dxfId="55" priority="34" operator="equal">
      <formula>5</formula>
    </cfRule>
    <cfRule type="cellIs" dxfId="54" priority="33" operator="equal">
      <formula>4</formula>
    </cfRule>
  </conditionalFormatting>
  <conditionalFormatting sqref="P176">
    <cfRule type="cellIs" dxfId="53" priority="28" operator="equal">
      <formula>4</formula>
    </cfRule>
    <cfRule type="cellIs" dxfId="52" priority="25" operator="equal">
      <formula>1</formula>
    </cfRule>
    <cfRule type="cellIs" dxfId="51" priority="26" operator="equal">
      <formula>2</formula>
    </cfRule>
    <cfRule type="cellIs" dxfId="50" priority="27" operator="equal">
      <formula>3</formula>
    </cfRule>
    <cfRule type="cellIs" dxfId="49" priority="29" operator="equal">
      <formula>5</formula>
    </cfRule>
  </conditionalFormatting>
  <conditionalFormatting sqref="P180:P181">
    <cfRule type="cellIs" dxfId="48" priority="23" operator="equal">
      <formula>4</formula>
    </cfRule>
    <cfRule type="cellIs" dxfId="47" priority="24" operator="equal">
      <formula>5</formula>
    </cfRule>
    <cfRule type="cellIs" dxfId="46" priority="20" operator="equal">
      <formula>1</formula>
    </cfRule>
    <cfRule type="cellIs" dxfId="45" priority="21" operator="equal">
      <formula>2</formula>
    </cfRule>
    <cfRule type="cellIs" dxfId="44" priority="22" operator="equal">
      <formula>3</formula>
    </cfRule>
  </conditionalFormatting>
  <conditionalFormatting sqref="P186">
    <cfRule type="cellIs" dxfId="43" priority="11" operator="equal">
      <formula>2</formula>
    </cfRule>
    <cfRule type="cellIs" dxfId="42" priority="12" operator="equal">
      <formula>3</formula>
    </cfRule>
    <cfRule type="cellIs" dxfId="41" priority="13" operator="equal">
      <formula>4</formula>
    </cfRule>
    <cfRule type="cellIs" dxfId="40" priority="14" operator="equal">
      <formula>5</formula>
    </cfRule>
    <cfRule type="cellIs" dxfId="39" priority="10" operator="equal">
      <formula>1</formula>
    </cfRule>
  </conditionalFormatting>
  <conditionalFormatting sqref="P190">
    <cfRule type="cellIs" dxfId="38" priority="6" operator="equal">
      <formula>2</formula>
    </cfRule>
    <cfRule type="cellIs" dxfId="37" priority="5" operator="equal">
      <formula>1</formula>
    </cfRule>
    <cfRule type="cellIs" dxfId="36" priority="7" operator="equal">
      <formula>3</formula>
    </cfRule>
    <cfRule type="cellIs" dxfId="35" priority="9" operator="equal">
      <formula>5</formula>
    </cfRule>
    <cfRule type="cellIs" dxfId="34" priority="8" operator="equal">
      <formula>4</formula>
    </cfRule>
  </conditionalFormatting>
  <conditionalFormatting sqref="Q185">
    <cfRule type="cellIs" dxfId="33" priority="19" operator="equal">
      <formula>5</formula>
    </cfRule>
    <cfRule type="cellIs" dxfId="32" priority="15" operator="equal">
      <formula>1</formula>
    </cfRule>
    <cfRule type="cellIs" dxfId="31" priority="16" operator="equal">
      <formula>2</formula>
    </cfRule>
    <cfRule type="cellIs" dxfId="30" priority="17" operator="equal">
      <formula>3</formula>
    </cfRule>
    <cfRule type="cellIs" dxfId="29" priority="18" operator="equal">
      <formula>4</formula>
    </cfRule>
  </conditionalFormatting>
  <conditionalFormatting sqref="Q10:BP22 P23:BP23 Q24:BP25 P26:BP26">
    <cfRule type="cellIs" dxfId="28" priority="118" operator="equal">
      <formula>3</formula>
    </cfRule>
    <cfRule type="cellIs" dxfId="27" priority="119" operator="equal">
      <formula>4</formula>
    </cfRule>
    <cfRule type="cellIs" dxfId="26" priority="116" operator="equal">
      <formula>1</formula>
    </cfRule>
    <cfRule type="cellIs" dxfId="25" priority="117" operator="equal">
      <formula>2</formula>
    </cfRule>
    <cfRule type="cellIs" dxfId="24" priority="120" operator="equal">
      <formula>5</formula>
    </cfRule>
  </conditionalFormatting>
  <conditionalFormatting sqref="Q27:BP48 P32 Q49:BC49 BE49:BP49">
    <cfRule type="cellIs" dxfId="23" priority="110" operator="equal">
      <formula>1</formula>
    </cfRule>
    <cfRule type="cellIs" dxfId="22" priority="111" operator="equal">
      <formula>2</formula>
    </cfRule>
    <cfRule type="cellIs" dxfId="21" priority="112" operator="equal">
      <formula>3</formula>
    </cfRule>
    <cfRule type="cellIs" dxfId="20" priority="113" operator="equal">
      <formula>4</formula>
    </cfRule>
    <cfRule type="cellIs" dxfId="19" priority="114" operator="equal">
      <formula>5</formula>
    </cfRule>
  </conditionalFormatting>
  <conditionalFormatting sqref="R3:R7">
    <cfRule type="cellIs" dxfId="18" priority="1845" operator="equal">
      <formula>2</formula>
    </cfRule>
    <cfRule type="cellIs" dxfId="17" priority="1846" operator="equal">
      <formula>3</formula>
    </cfRule>
    <cfRule type="cellIs" dxfId="16" priority="1847" operator="equal">
      <formula>4</formula>
    </cfRule>
    <cfRule type="cellIs" dxfId="15" priority="1848" operator="equal">
      <formula>5</formula>
    </cfRule>
    <cfRule type="cellIs" dxfId="14" priority="1844" operator="equal">
      <formula>1</formula>
    </cfRule>
  </conditionalFormatting>
  <conditionalFormatting sqref="L152:M152">
    <cfRule type="expression" dxfId="1" priority="2">
      <formula>$C152&lt;&gt;""</formula>
    </cfRule>
  </conditionalFormatting>
  <conditionalFormatting sqref="L153:M153">
    <cfRule type="expression" dxfId="0" priority="1">
      <formula>$C153&lt;&gt;""</formula>
    </cfRule>
  </conditionalFormatting>
  <dataValidations count="1">
    <dataValidation type="list" allowBlank="1" showInputMessage="1" showErrorMessage="1" sqref="E10:E125 E149:E325" xr:uid="{00000000-0002-0000-0000-000000000000}">
      <formula1>INDIRECT(SUBSTITUTE(SUBSTITUTE($D10&amp;"_"," ","_"),"&amp;","_"))</formula1>
    </dataValidation>
  </dataValidations>
  <pageMargins left="0.7" right="0.7" top="0.75" bottom="0.75" header="0.3" footer="0.3"/>
  <pageSetup paperSize="9" orientation="portrait" r:id="rId1"/>
  <customProperties>
    <customPr name="_pios_id" r:id="rId2"/>
    <customPr name="EpmWorksheetKeyString_GUID" r:id="rId3"/>
  </customProperties>
  <drawing r:id="rId4"/>
  <legacy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dataBar" id="{919C6366-DEF3-44AB-A4AA-69CCE05E293E}">
            <x14:dataBar minLength="0" maxLength="100" gradient="0">
              <x14:cfvo type="num">
                <xm:f>0</xm:f>
              </x14:cfvo>
              <x14:cfvo type="num">
                <xm:f>1</xm:f>
              </x14:cfvo>
              <x14:negativeFillColor rgb="FFFF0000"/>
              <x14:axisColor rgb="FF000000"/>
            </x14:dataBar>
          </x14:cfRule>
          <xm:sqref>O10:O30 O46:O83</xm:sqref>
        </x14:conditionalFormatting>
        <x14:conditionalFormatting xmlns:xm="http://schemas.microsoft.com/office/excel/2006/main">
          <x14:cfRule type="dataBar" id="{74336E70-8812-4AC5-AA80-13ED27EDBBD8}">
            <x14:dataBar minLength="0" maxLength="100" gradient="0">
              <x14:cfvo type="num">
                <xm:f>0</xm:f>
              </x14:cfvo>
              <x14:cfvo type="num">
                <xm:f>1</xm:f>
              </x14:cfvo>
              <x14:negativeFillColor rgb="FFFF0000"/>
              <x14:axisColor rgb="FF000000"/>
            </x14:dataBar>
          </x14:cfRule>
          <xm:sqref>O31:O35 O84:O325</xm:sqref>
        </x14:conditionalFormatting>
        <x14:conditionalFormatting xmlns:xm="http://schemas.microsoft.com/office/excel/2006/main">
          <x14:cfRule type="dataBar" id="{C2E505C5-EF61-492E-ABDA-F8DCFE04D1F6}">
            <x14:dataBar minLength="0" maxLength="100" gradient="0">
              <x14:cfvo type="num">
                <xm:f>0</xm:f>
              </x14:cfvo>
              <x14:cfvo type="num">
                <xm:f>1</xm:f>
              </x14:cfvo>
              <x14:negativeFillColor rgb="FFFF0000"/>
              <x14:axisColor rgb="FF000000"/>
            </x14:dataBar>
          </x14:cfRule>
          <xm:sqref>O36:O45</xm:sqref>
        </x14:conditionalFormatting>
        <x14:conditionalFormatting xmlns:xm="http://schemas.microsoft.com/office/excel/2006/main">
          <x14:cfRule type="dataBar" id="{1B7DF4D6-F3EF-4818-AADD-DB0F46603485}">
            <x14:dataBar minLength="0" maxLength="100" gradient="0">
              <x14:cfvo type="num">
                <xm:f>0</xm:f>
              </x14:cfvo>
              <x14:cfvo type="num">
                <xm:f>1</xm:f>
              </x14:cfvo>
              <x14:negativeFillColor rgb="FFFF0000"/>
              <x14:axisColor rgb="FF000000"/>
            </x14:dataBar>
          </x14:cfRule>
          <xm:sqref>O74:O78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3000000}">
          <x14:formula1>
            <xm:f>Backend!$B$3:$B$5</xm:f>
          </x14:formula1>
          <xm:sqref>F98:F100 F90:F92 F94:F96 F102:F104 F106:F108 G125 F199:F325 F30 F149:F168</xm:sqref>
        </x14:dataValidation>
        <x14:dataValidation type="list" allowBlank="1" showInputMessage="1" showErrorMessage="1" xr:uid="{00000000-0002-0000-0000-000001000000}">
          <x14:formula1>
            <xm:f>Backend!$I$2:$L$2</xm:f>
          </x14:formula1>
          <xm:sqref>D89:D125 D199:D325 D30 D149:D168</xm:sqref>
        </x14:dataValidation>
        <x14:dataValidation type="list" allowBlank="1" showInputMessage="1" showErrorMessage="1" xr:uid="{00000000-0002-0000-0000-000002000000}">
          <x14:formula1>
            <xm:f>Backend!$O$2:$O$7</xm:f>
          </x14:formula1>
          <xm:sqref>O89:O125 O30 O195:O325 O149:O168</xm:sqref>
        </x14:dataValidation>
      </x14:dataValidations>
    </ext>
    <ext xmlns:x15="http://schemas.microsoft.com/office/spreadsheetml/2010/11/main" uri="{3A4CF648-6AED-40f4-86FF-DC5316D8AED3}">
      <x14:slicerList xmlns:x14="http://schemas.microsoft.com/office/spreadsheetml/2009/9/main">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9:BO51"/>
  <sheetViews>
    <sheetView showGridLines="0" zoomScale="110" zoomScaleNormal="110" workbookViewId="0">
      <pane ySplit="11" topLeftCell="A12" activePane="bottomLeft" state="frozen"/>
      <selection pane="bottomLeft" activeCell="H21" sqref="H21"/>
    </sheetView>
  </sheetViews>
  <sheetFormatPr defaultColWidth="0" defaultRowHeight="15" outlineLevelCol="1" x14ac:dyDescent="0.25"/>
  <cols>
    <col min="1" max="1" width="2.85546875" customWidth="1"/>
    <col min="2" max="2" width="4.42578125" bestFit="1" customWidth="1"/>
    <col min="3" max="3" width="3.85546875" customWidth="1"/>
    <col min="4" max="4" width="42.85546875" hidden="1" customWidth="1"/>
    <col min="5" max="5" width="19" bestFit="1" customWidth="1" outlineLevel="1"/>
    <col min="6" max="6" width="25.5703125" bestFit="1" customWidth="1" outlineLevel="1"/>
    <col min="7" max="7" width="14.5703125" customWidth="1" outlineLevel="1"/>
    <col min="8" max="8" width="46.28515625" bestFit="1" customWidth="1"/>
    <col min="9" max="9" width="19" customWidth="1"/>
    <col min="10" max="11" width="8.7109375" customWidth="1"/>
    <col min="12" max="12" width="64.7109375" customWidth="1"/>
    <col min="13" max="13" width="11.28515625" customWidth="1"/>
    <col min="14" max="14" width="18.7109375" customWidth="1"/>
    <col min="15" max="65" width="9.140625" hidden="1" customWidth="1"/>
    <col min="66" max="67" width="0" hidden="1" customWidth="1"/>
    <col min="68" max="16384" width="9.140625" hidden="1"/>
  </cols>
  <sheetData>
    <row r="9" spans="2:13" s="19" customFormat="1" x14ac:dyDescent="0.25">
      <c r="C9" s="19">
        <v>3</v>
      </c>
      <c r="D9" s="19">
        <v>5</v>
      </c>
      <c r="E9" s="19">
        <v>2</v>
      </c>
      <c r="F9" s="19">
        <v>3</v>
      </c>
      <c r="G9" s="19">
        <v>4</v>
      </c>
      <c r="H9" s="19">
        <v>6</v>
      </c>
      <c r="I9" s="19">
        <v>8</v>
      </c>
      <c r="J9" s="19">
        <v>10</v>
      </c>
      <c r="K9" s="19">
        <v>11</v>
      </c>
      <c r="L9" s="19">
        <v>12</v>
      </c>
      <c r="M9" s="19">
        <v>13</v>
      </c>
    </row>
    <row r="10" spans="2:13" s="19" customFormat="1" x14ac:dyDescent="0.25">
      <c r="B10" s="20"/>
      <c r="C10" s="21" t="s">
        <v>137</v>
      </c>
      <c r="D10" s="21"/>
      <c r="E10" s="21"/>
      <c r="F10" s="21"/>
      <c r="G10" s="21"/>
      <c r="H10" s="21"/>
      <c r="I10" s="21"/>
      <c r="J10" s="21"/>
      <c r="K10" s="21"/>
      <c r="L10" s="21"/>
      <c r="M10" s="21"/>
    </row>
    <row r="11" spans="2:13" ht="21" x14ac:dyDescent="0.25">
      <c r="B11" s="17" t="s">
        <v>0</v>
      </c>
      <c r="C11" s="17" t="s">
        <v>1</v>
      </c>
      <c r="D11" s="18" t="s">
        <v>5</v>
      </c>
      <c r="E11" s="18" t="s">
        <v>2</v>
      </c>
      <c r="F11" s="18" t="s">
        <v>3</v>
      </c>
      <c r="G11" s="18" t="s">
        <v>4</v>
      </c>
      <c r="H11" s="18" t="s">
        <v>134</v>
      </c>
      <c r="I11" s="18" t="s">
        <v>7</v>
      </c>
      <c r="J11" s="17" t="s">
        <v>95</v>
      </c>
      <c r="K11" s="17" t="s">
        <v>96</v>
      </c>
      <c r="L11" s="18" t="s">
        <v>9</v>
      </c>
      <c r="M11" s="17" t="s">
        <v>10</v>
      </c>
    </row>
    <row r="12" spans="2:13" ht="23.25" customHeight="1" x14ac:dyDescent="0.25">
      <c r="B12" s="25"/>
      <c r="C12" s="25">
        <v>1</v>
      </c>
      <c r="D12" s="26" t="str">
        <f>IFERROR(IF(VLOOKUP(Table2[[#This Row],['#]],Table3[['#]:[Completion rate]],'High-level overview'!D$9,FALSE)=0,"",VLOOKUP(Table2[[#This Row],['#]],Table3[['#]:[Completion rate]],'High-level overview'!D$9,FALSE)),"")</f>
        <v>Fit for the future</v>
      </c>
      <c r="E12" s="26" t="str">
        <f>IFERROR(IF(VLOOKUP(Table2[[#This Row],['#]],Table3[['#]:[Completion rate]],'High-level overview'!E$9,FALSE)=0,"",VLOOKUP(Table2[[#This Row],['#]],Table3[['#]:[Completion rate]],'High-level overview'!E$9,FALSE)),"")</f>
        <v>Finance</v>
      </c>
      <c r="F12" s="26" t="str">
        <f>IFERROR(IF(VLOOKUP(Table2[[#This Row],['#]],Table3[['#]:[Completion rate]],'High-level overview'!F$9,FALSE)=0,"",VLOOKUP(Table2[[#This Row],['#]],Table3[['#]:[Completion rate]],'High-level overview'!F$9,FALSE)),"")</f>
        <v>Even better cost management</v>
      </c>
      <c r="G12" s="27" t="str">
        <f>IFERROR(IF(VLOOKUP(Table2[[#This Row],['#]],Table3[['#]:[Completion rate]],'High-level overview'!G$9,FALSE)=0,"",VLOOKUP(Table2[[#This Row],['#]],Table3[['#]:[Completion rate]],'High-level overview'!G$9,FALSE)),"")</f>
        <v>JYSK</v>
      </c>
      <c r="H12" s="27" t="str">
        <f>IFERROR(IF(VLOOKUP(Table2[[#This Row],['#]],Table3[['#]:[Completion rate]],'High-level overview'!H$9,FALSE)=0,"",VLOOKUP(Table2[[#This Row],['#]],Table3[['#]:[Completion rate]],'High-level overview'!H$9,FALSE)),"")</f>
        <v>Fit for the future</v>
      </c>
      <c r="I12" s="27" t="str">
        <f>IFERROR(IF(VLOOKUP(Table2[[#This Row],['#]],Table3[['#]:[Completion rate]],'High-level overview'!I$9,FALSE)=0,"",VLOOKUP(Table2[[#This Row],['#]],Table3[['#]:[Completion rate]],'High-level overview'!I$9,FALSE)),"")</f>
        <v>SSUC</v>
      </c>
      <c r="J12" s="25" t="str">
        <f>IFERROR(IF(VLOOKUP(Table2[[#This Row],['#]],Table3[['#]:[Completion rate]],'High-level overview'!J$9,FALSE)=0,"",VLOOKUP(Table2[[#This Row],['#]],Table3[['#]:[Completion rate]],'High-level overview'!J$9,FALSE)),"")</f>
        <v/>
      </c>
      <c r="K12" s="25" t="str">
        <f>IFERROR(IF(VLOOKUP(Table2[[#This Row],['#]],Table3[['#]:[Completion rate]],'High-level overview'!K$9,FALSE)=0,"",VLOOKUP(Table2[[#This Row],['#]],Table3[['#]:[Completion rate]],'High-level overview'!K$9,FALSE)),"")</f>
        <v/>
      </c>
      <c r="L12" s="27" t="str">
        <f>IFERROR(IF(VLOOKUP(Table2[[#This Row],['#]],Table3[['#]:[Completion rate]],'High-level overview'!L$9,FALSE)=0,"",VLOOKUP(Table2[[#This Row],['#]],Table3[['#]:[Completion rate]],'High-level overview'!L$9,FALSE)),"")</f>
        <v/>
      </c>
      <c r="M12" s="28" t="str">
        <f>IFERROR(IF(VLOOKUP(Table2[[#This Row],['#]],Table3[['#]:[Completion rate]],'High-level overview'!M$9,FALSE)=0,"",VLOOKUP(Table2[[#This Row],['#]],Table3[['#]:[Completion rate]],'High-level overview'!M$9,FALSE)),"")</f>
        <v/>
      </c>
    </row>
    <row r="13" spans="2:13" ht="23.25" customHeight="1" x14ac:dyDescent="0.25">
      <c r="B13" s="25"/>
      <c r="C13" s="25">
        <v>2</v>
      </c>
      <c r="D13" s="26" t="str">
        <f>IFERROR(IF(VLOOKUP(Table2[[#This Row],['#]],Table3[['#]:[Completion rate]],'High-level overview'!D$9,FALSE)=0,"",VLOOKUP(Table2[[#This Row],['#]],Table3[['#]:[Completion rate]],'High-level overview'!D$9,FALSE)),"")</f>
        <v xml:space="preserve">Optimise Retail Operations </v>
      </c>
      <c r="E13" s="26" t="str">
        <f>IFERROR(IF(VLOOKUP(Table2[[#This Row],['#]],Table3[['#]:[Completion rate]],'High-level overview'!E$9,FALSE)=0,"",VLOOKUP(Table2[[#This Row],['#]],Table3[['#]:[Completion rate]],'High-level overview'!E$9,FALSE)),"")</f>
        <v>Internal processes</v>
      </c>
      <c r="F13" s="26" t="str">
        <f>IFERROR(IF(VLOOKUP(Table2[[#This Row],['#]],Table3[['#]:[Completion rate]],'High-level overview'!F$9,FALSE)=0,"",VLOOKUP(Table2[[#This Row],['#]],Table3[['#]:[Completion rate]],'High-level overview'!F$9,FALSE)),"")</f>
        <v>Attractive stores</v>
      </c>
      <c r="G13" s="27" t="str">
        <f>IFERROR(IF(VLOOKUP(Table2[[#This Row],['#]],Table3[['#]:[Completion rate]],'High-level overview'!G$9,FALSE)=0,"",VLOOKUP(Table2[[#This Row],['#]],Table3[['#]:[Completion rate]],'High-level overview'!G$9,FALSE)),"")</f>
        <v>JYSK</v>
      </c>
      <c r="H13" s="27" t="str">
        <f>IFERROR(IF(VLOOKUP(Table2[[#This Row],['#]],Table3[['#]:[Completion rate]],'High-level overview'!H$9,FALSE)=0,"",VLOOKUP(Table2[[#This Row],['#]],Table3[['#]:[Completion rate]],'High-level overview'!H$9,FALSE)),"")</f>
        <v>Optimise Retail Operations</v>
      </c>
      <c r="I13" s="27" t="str">
        <f>IFERROR(IF(VLOOKUP(Table2[[#This Row],['#]],Table3[['#]:[Completion rate]],'High-level overview'!I$9,FALSE)=0,"",VLOOKUP(Table2[[#This Row],['#]],Table3[['#]:[Completion rate]],'High-level overview'!I$9,FALSE)),"")</f>
        <v>DEL</v>
      </c>
      <c r="J13" s="25" t="str">
        <f>IFERROR(IF(VLOOKUP(Table2[[#This Row],['#]],Table3[['#]:[Completion rate]],'High-level overview'!J$9,FALSE)=0,"",VLOOKUP(Table2[[#This Row],['#]],Table3[['#]:[Completion rate]],'High-level overview'!J$9,FALSE)),"")</f>
        <v/>
      </c>
      <c r="K13" s="25" t="str">
        <f>IFERROR(IF(VLOOKUP(Table2[[#This Row],['#]],Table3[['#]:[Completion rate]],'High-level overview'!K$9,FALSE)=0,"",VLOOKUP(Table2[[#This Row],['#]],Table3[['#]:[Completion rate]],'High-level overview'!K$9,FALSE)),"")</f>
        <v/>
      </c>
      <c r="L13" s="27" t="str">
        <f>IFERROR(IF(VLOOKUP(Table2[[#This Row],['#]],Table3[['#]:[Completion rate]],'High-level overview'!L$9,FALSE)=0,"",VLOOKUP(Table2[[#This Row],['#]],Table3[['#]:[Completion rate]],'High-level overview'!L$9,FALSE)),"")</f>
        <v/>
      </c>
      <c r="M13" s="28" t="str">
        <f>IFERROR(IF(VLOOKUP(Table2[[#This Row],['#]],Table3[['#]:[Completion rate]],'High-level overview'!M$9,FALSE)=0,"",VLOOKUP(Table2[[#This Row],['#]],Table3[['#]:[Completion rate]],'High-level overview'!M$9,FALSE)),"")</f>
        <v/>
      </c>
    </row>
    <row r="14" spans="2:13" ht="23.25" customHeight="1" x14ac:dyDescent="0.25">
      <c r="B14" s="25"/>
      <c r="C14" s="25">
        <v>3</v>
      </c>
      <c r="D14" s="26" t="str">
        <f>IFERROR(IF(VLOOKUP(Table2[[#This Row],['#]],Table3[['#]:[Completion rate]],'High-level overview'!D$9,FALSE)=0,"",VLOOKUP(Table2[[#This Row],['#]],Table3[['#]:[Completion rate]],'High-level overview'!D$9,FALSE)),"")</f>
        <v>Attract the future</v>
      </c>
      <c r="E14" s="26" t="str">
        <f>IFERROR(IF(VLOOKUP(Table2[[#This Row],['#]],Table3[['#]:[Completion rate]],'High-level overview'!E$9,FALSE)=0,"",VLOOKUP(Table2[[#This Row],['#]],Table3[['#]:[Completion rate]],'High-level overview'!E$9,FALSE)),"")</f>
        <v>Employees &amp; learning</v>
      </c>
      <c r="F14" s="26" t="str">
        <f>IFERROR(IF(VLOOKUP(Table2[[#This Row],['#]],Table3[['#]:[Completion rate]],'High-level overview'!F$9,FALSE)=0,"",VLOOKUP(Table2[[#This Row],['#]],Table3[['#]:[Completion rate]],'High-level overview'!F$9,FALSE)),"")</f>
        <v>Attractive place to work</v>
      </c>
      <c r="G14" s="27" t="str">
        <f>IFERROR(IF(VLOOKUP(Table2[[#This Row],['#]],Table3[['#]:[Completion rate]],'High-level overview'!G$9,FALSE)=0,"",VLOOKUP(Table2[[#This Row],['#]],Table3[['#]:[Completion rate]],'High-level overview'!G$9,FALSE)),"")</f>
        <v>JYSK</v>
      </c>
      <c r="H14" s="27" t="str">
        <f>IFERROR(IF(VLOOKUP(Table2[[#This Row],['#]],Table3[['#]:[Completion rate]],'High-level overview'!H$9,FALSE)=0,"",VLOOKUP(Table2[[#This Row],['#]],Table3[['#]:[Completion rate]],'High-level overview'!H$9,FALSE)),"")</f>
        <v>Attract the future</v>
      </c>
      <c r="I14" s="27" t="str">
        <f>IFERROR(IF(VLOOKUP(Table2[[#This Row],['#]],Table3[['#]:[Completion rate]],'High-level overview'!I$9,FALSE)=0,"",VLOOKUP(Table2[[#This Row],['#]],Table3[['#]:[Completion rate]],'High-level overview'!I$9,FALSE)),"")</f>
        <v>JCU</v>
      </c>
      <c r="J14" s="25" t="str">
        <f>IFERROR(IF(VLOOKUP(Table2[[#This Row],['#]],Table3[['#]:[Completion rate]],'High-level overview'!J$9,FALSE)=0,"",VLOOKUP(Table2[[#This Row],['#]],Table3[['#]:[Completion rate]],'High-level overview'!J$9,FALSE)),"")</f>
        <v/>
      </c>
      <c r="K14" s="25" t="str">
        <f>IFERROR(IF(VLOOKUP(Table2[[#This Row],['#]],Table3[['#]:[Completion rate]],'High-level overview'!K$9,FALSE)=0,"",VLOOKUP(Table2[[#This Row],['#]],Table3[['#]:[Completion rate]],'High-level overview'!K$9,FALSE)),"")</f>
        <v/>
      </c>
      <c r="L14" s="27" t="str">
        <f>IFERROR(IF(VLOOKUP(Table2[[#This Row],['#]],Table3[['#]:[Completion rate]],'High-level overview'!L$9,FALSE)=0,"",VLOOKUP(Table2[[#This Row],['#]],Table3[['#]:[Completion rate]],'High-level overview'!L$9,FALSE)),"")</f>
        <v/>
      </c>
      <c r="M14" s="28" t="str">
        <f>IFERROR(IF(VLOOKUP(Table2[[#This Row],['#]],Table3[['#]:[Completion rate]],'High-level overview'!M$9,FALSE)=0,"",VLOOKUP(Table2[[#This Row],['#]],Table3[['#]:[Completion rate]],'High-level overview'!M$9,FALSE)),"")</f>
        <v/>
      </c>
    </row>
    <row r="15" spans="2:13" ht="23.25" customHeight="1" x14ac:dyDescent="0.25">
      <c r="B15" s="25"/>
      <c r="C15" s="25">
        <v>4</v>
      </c>
      <c r="D15" s="26" t="str">
        <f>IFERROR(IF(VLOOKUP(Table2[[#This Row],['#]],Table3[['#]:[Completion rate]],'High-level overview'!D$9,FALSE)=0,"",VLOOKUP(Table2[[#This Row],['#]],Table3[['#]:[Completion rate]],'High-level overview'!D$9,FALSE)),"")</f>
        <v>Retain and empower our talent and performers</v>
      </c>
      <c r="E15" s="26" t="str">
        <f>IFERROR(IF(VLOOKUP(Table2[[#This Row],['#]],Table3[['#]:[Completion rate]],'High-level overview'!E$9,FALSE)=0,"",VLOOKUP(Table2[[#This Row],['#]],Table3[['#]:[Completion rate]],'High-level overview'!E$9,FALSE)),"")</f>
        <v>Employees &amp; learning</v>
      </c>
      <c r="F15" s="26" t="str">
        <f>IFERROR(IF(VLOOKUP(Table2[[#This Row],['#]],Table3[['#]:[Completion rate]],'High-level overview'!F$9,FALSE)=0,"",VLOOKUP(Table2[[#This Row],['#]],Table3[['#]:[Completion rate]],'High-level overview'!F$9,FALSE)),"")</f>
        <v>Attractive place to work</v>
      </c>
      <c r="G15" s="27" t="str">
        <f>IFERROR(IF(VLOOKUP(Table2[[#This Row],['#]],Table3[['#]:[Completion rate]],'High-level overview'!G$9,FALSE)=0,"",VLOOKUP(Table2[[#This Row],['#]],Table3[['#]:[Completion rate]],'High-level overview'!G$9,FALSE)),"")</f>
        <v>JYSK</v>
      </c>
      <c r="H15" s="27" t="str">
        <f>IFERROR(IF(VLOOKUP(Table2[[#This Row],['#]],Table3[['#]:[Completion rate]],'High-level overview'!H$9,FALSE)=0,"",VLOOKUP(Table2[[#This Row],['#]],Table3[['#]:[Completion rate]],'High-level overview'!H$9,FALSE)),"")</f>
        <v>Retain and empower our talent and performers</v>
      </c>
      <c r="I15" s="27" t="str">
        <f>IFERROR(IF(VLOOKUP(Table2[[#This Row],['#]],Table3[['#]:[Completion rate]],'High-level overview'!I$9,FALSE)=0,"",VLOOKUP(Table2[[#This Row],['#]],Table3[['#]:[Completion rate]],'High-level overview'!I$9,FALSE)),"")</f>
        <v>JCU</v>
      </c>
      <c r="J15" s="25" t="str">
        <f>IFERROR(IF(VLOOKUP(Table2[[#This Row],['#]],Table3[['#]:[Completion rate]],'High-level overview'!J$9,FALSE)=0,"",VLOOKUP(Table2[[#This Row],['#]],Table3[['#]:[Completion rate]],'High-level overview'!J$9,FALSE)),"")</f>
        <v/>
      </c>
      <c r="K15" s="25" t="str">
        <f>IFERROR(IF(VLOOKUP(Table2[[#This Row],['#]],Table3[['#]:[Completion rate]],'High-level overview'!K$9,FALSE)=0,"",VLOOKUP(Table2[[#This Row],['#]],Table3[['#]:[Completion rate]],'High-level overview'!K$9,FALSE)),"")</f>
        <v/>
      </c>
      <c r="L15" s="27" t="str">
        <f>IFERROR(IF(VLOOKUP(Table2[[#This Row],['#]],Table3[['#]:[Completion rate]],'High-level overview'!L$9,FALSE)=0,"",VLOOKUP(Table2[[#This Row],['#]],Table3[['#]:[Completion rate]],'High-level overview'!L$9,FALSE)),"")</f>
        <v/>
      </c>
      <c r="M15" s="28" t="str">
        <f>IFERROR(IF(VLOOKUP(Table2[[#This Row],['#]],Table3[['#]:[Completion rate]],'High-level overview'!M$9,FALSE)=0,"",VLOOKUP(Table2[[#This Row],['#]],Table3[['#]:[Completion rate]],'High-level overview'!M$9,FALSE)),"")</f>
        <v/>
      </c>
    </row>
    <row r="16" spans="2:13" ht="23.25" customHeight="1" x14ac:dyDescent="0.25">
      <c r="B16" s="25"/>
      <c r="C16" s="25">
        <v>5</v>
      </c>
      <c r="D16" s="26" t="str">
        <f>IFERROR(IF(VLOOKUP(Table2[[#This Row],['#]],Table3[['#]:[Completion rate]],'High-level overview'!D$9,FALSE)=0,"",VLOOKUP(Table2[[#This Row],['#]],Table3[['#]:[Completion rate]],'High-level overview'!D$9,FALSE)),"")</f>
        <v>Explore, implement and leverage Artificial Intelligence</v>
      </c>
      <c r="E16" s="26" t="str">
        <f>IFERROR(IF(VLOOKUP(Table2[[#This Row],['#]],Table3[['#]:[Completion rate]],'High-level overview'!E$9,FALSE)=0,"",VLOOKUP(Table2[[#This Row],['#]],Table3[['#]:[Completion rate]],'High-level overview'!E$9,FALSE)),"")</f>
        <v>Finance</v>
      </c>
      <c r="F16" s="26" t="str">
        <f>IFERROR(IF(VLOOKUP(Table2[[#This Row],['#]],Table3[['#]:[Completion rate]],'High-level overview'!F$9,FALSE)=0,"",VLOOKUP(Table2[[#This Row],['#]],Table3[['#]:[Completion rate]],'High-level overview'!F$9,FALSE)),"")</f>
        <v>Sales growth</v>
      </c>
      <c r="G16" s="27" t="str">
        <f>IFERROR(IF(VLOOKUP(Table2[[#This Row],['#]],Table3[['#]:[Completion rate]],'High-level overview'!G$9,FALSE)=0,"",VLOOKUP(Table2[[#This Row],['#]],Table3[['#]:[Completion rate]],'High-level overview'!G$9,FALSE)),"")</f>
        <v>Service function</v>
      </c>
      <c r="H16" s="27" t="str">
        <f>IFERROR(IF(VLOOKUP(Table2[[#This Row],['#]],Table3[['#]:[Completion rate]],'High-level overview'!H$9,FALSE)=0,"",VLOOKUP(Table2[[#This Row],['#]],Table3[['#]:[Completion rate]],'High-level overview'!H$9,FALSE)),"")</f>
        <v>Explore, implement and leverage Artificial Intelligence</v>
      </c>
      <c r="I16" s="27" t="str">
        <f>IFERROR(IF(VLOOKUP(Table2[[#This Row],['#]],Table3[['#]:[Completion rate]],'High-level overview'!I$9,FALSE)=0,"",VLOOKUP(Table2[[#This Row],['#]],Table3[['#]:[Completion rate]],'High-level overview'!I$9,FALSE)),"")</f>
        <v/>
      </c>
      <c r="J16" s="25" t="str">
        <f>IFERROR(IF(VLOOKUP(Table2[[#This Row],['#]],Table3[['#]:[Completion rate]],'High-level overview'!J$9,FALSE)=0,"",VLOOKUP(Table2[[#This Row],['#]],Table3[['#]:[Completion rate]],'High-level overview'!J$9,FALSE)),"")</f>
        <v/>
      </c>
      <c r="K16" s="25" t="str">
        <f>IFERROR(IF(VLOOKUP(Table2[[#This Row],['#]],Table3[['#]:[Completion rate]],'High-level overview'!K$9,FALSE)=0,"",VLOOKUP(Table2[[#This Row],['#]],Table3[['#]:[Completion rate]],'High-level overview'!K$9,FALSE)),"")</f>
        <v/>
      </c>
      <c r="L16" s="27" t="str">
        <f>IFERROR(IF(VLOOKUP(Table2[[#This Row],['#]],Table3[['#]:[Completion rate]],'High-level overview'!L$9,FALSE)=0,"",VLOOKUP(Table2[[#This Row],['#]],Table3[['#]:[Completion rate]],'High-level overview'!L$9,FALSE)),"")</f>
        <v/>
      </c>
      <c r="M16" s="28" t="str">
        <f>IFERROR(IF(VLOOKUP(Table2[[#This Row],['#]],Table3[['#]:[Completion rate]],'High-level overview'!M$9,FALSE)=0,"",VLOOKUP(Table2[[#This Row],['#]],Table3[['#]:[Completion rate]],'High-level overview'!M$9,FALSE)),"")</f>
        <v/>
      </c>
    </row>
    <row r="17" spans="2:13" ht="23.25" customHeight="1" x14ac:dyDescent="0.25">
      <c r="B17" s="25"/>
      <c r="C17" s="25">
        <v>6</v>
      </c>
      <c r="D17" s="26" t="str">
        <f>IFERROR(IF(VLOOKUP(Table2[[#This Row],['#]],Table3[['#]:[Completion rate]],'High-level overview'!D$9,FALSE)=0,"",VLOOKUP(Table2[[#This Row],['#]],Table3[['#]:[Completion rate]],'High-level overview'!D$9,FALSE)),"")</f>
        <v>Secure the voice of the customer through insights</v>
      </c>
      <c r="E17" s="26" t="str">
        <f>IFERROR(IF(VLOOKUP(Table2[[#This Row],['#]],Table3[['#]:[Completion rate]],'High-level overview'!E$9,FALSE)=0,"",VLOOKUP(Table2[[#This Row],['#]],Table3[['#]:[Completion rate]],'High-level overview'!E$9,FALSE)),"")</f>
        <v>Finance</v>
      </c>
      <c r="F17" s="26" t="str">
        <f>IFERROR(IF(VLOOKUP(Table2[[#This Row],['#]],Table3[['#]:[Completion rate]],'High-level overview'!F$9,FALSE)=0,"",VLOOKUP(Table2[[#This Row],['#]],Table3[['#]:[Completion rate]],'High-level overview'!F$9,FALSE)),"")</f>
        <v>Sales growth</v>
      </c>
      <c r="G17" s="27" t="str">
        <f>IFERROR(IF(VLOOKUP(Table2[[#This Row],['#]],Table3[['#]:[Completion rate]],'High-level overview'!G$9,FALSE)=0,"",VLOOKUP(Table2[[#This Row],['#]],Table3[['#]:[Completion rate]],'High-level overview'!G$9,FALSE)),"")</f>
        <v>Service function</v>
      </c>
      <c r="H17" s="27" t="str">
        <f>IFERROR(IF(VLOOKUP(Table2[[#This Row],['#]],Table3[['#]:[Completion rate]],'High-level overview'!H$9,FALSE)=0,"",VLOOKUP(Table2[[#This Row],['#]],Table3[['#]:[Completion rate]],'High-level overview'!H$9,FALSE)),"")</f>
        <v>Secure the voice of the customer through insights</v>
      </c>
      <c r="I17" s="27" t="str">
        <f>IFERROR(IF(VLOOKUP(Table2[[#This Row],['#]],Table3[['#]:[Completion rate]],'High-level overview'!I$9,FALSE)=0,"",VLOOKUP(Table2[[#This Row],['#]],Table3[['#]:[Completion rate]],'High-level overview'!I$9,FALSE)),"")</f>
        <v/>
      </c>
      <c r="J17" s="25" t="str">
        <f>IFERROR(IF(VLOOKUP(Table2[[#This Row],['#]],Table3[['#]:[Completion rate]],'High-level overview'!J$9,FALSE)=0,"",VLOOKUP(Table2[[#This Row],['#]],Table3[['#]:[Completion rate]],'High-level overview'!J$9,FALSE)),"")</f>
        <v/>
      </c>
      <c r="K17" s="25" t="str">
        <f>IFERROR(IF(VLOOKUP(Table2[[#This Row],['#]],Table3[['#]:[Completion rate]],'High-level overview'!K$9,FALSE)=0,"",VLOOKUP(Table2[[#This Row],['#]],Table3[['#]:[Completion rate]],'High-level overview'!K$9,FALSE)),"")</f>
        <v/>
      </c>
      <c r="L17" s="27" t="str">
        <f>IFERROR(IF(VLOOKUP(Table2[[#This Row],['#]],Table3[['#]:[Completion rate]],'High-level overview'!L$9,FALSE)=0,"",VLOOKUP(Table2[[#This Row],['#]],Table3[['#]:[Completion rate]],'High-level overview'!L$9,FALSE)),"")</f>
        <v/>
      </c>
      <c r="M17" s="28" t="str">
        <f>IFERROR(IF(VLOOKUP(Table2[[#This Row],['#]],Table3[['#]:[Completion rate]],'High-level overview'!M$9,FALSE)=0,"",VLOOKUP(Table2[[#This Row],['#]],Table3[['#]:[Completion rate]],'High-level overview'!M$9,FALSE)),"")</f>
        <v/>
      </c>
    </row>
    <row r="18" spans="2:13" ht="23.25" customHeight="1" x14ac:dyDescent="0.25">
      <c r="B18" s="25"/>
      <c r="C18" s="25">
        <v>7</v>
      </c>
      <c r="D18" s="26" t="str">
        <f>IFERROR(IF(VLOOKUP(Table2[[#This Row],['#]],Table3[['#]:[Completion rate]],'High-level overview'!D$9,FALSE)=0,"",VLOOKUP(Table2[[#This Row],['#]],Table3[['#]:[Completion rate]],'High-level overview'!D$9,FALSE)),"")</f>
        <v>Make JYSK more sustainable</v>
      </c>
      <c r="E18" s="26" t="str">
        <f>IFERROR(IF(VLOOKUP(Table2[[#This Row],['#]],Table3[['#]:[Completion rate]],'High-level overview'!E$9,FALSE)=0,"",VLOOKUP(Table2[[#This Row],['#]],Table3[['#]:[Completion rate]],'High-level overview'!E$9,FALSE)),"")</f>
        <v>Finance</v>
      </c>
      <c r="F18" s="26" t="str">
        <f>IFERROR(IF(VLOOKUP(Table2[[#This Row],['#]],Table3[['#]:[Completion rate]],'High-level overview'!F$9,FALSE)=0,"",VLOOKUP(Table2[[#This Row],['#]],Table3[['#]:[Completion rate]],'High-level overview'!F$9,FALSE)),"")</f>
        <v>Sales growth</v>
      </c>
      <c r="G18" s="27" t="str">
        <f>IFERROR(IF(VLOOKUP(Table2[[#This Row],['#]],Table3[['#]:[Completion rate]],'High-level overview'!G$9,FALSE)=0,"",VLOOKUP(Table2[[#This Row],['#]],Table3[['#]:[Completion rate]],'High-level overview'!G$9,FALSE)),"")</f>
        <v>Service function</v>
      </c>
      <c r="H18" s="27" t="str">
        <f>IFERROR(IF(VLOOKUP(Table2[[#This Row],['#]],Table3[['#]:[Completion rate]],'High-level overview'!H$9,FALSE)=0,"",VLOOKUP(Table2[[#This Row],['#]],Table3[['#]:[Completion rate]],'High-level overview'!H$9,FALSE)),"")</f>
        <v>Make JYSK more sustainable</v>
      </c>
      <c r="I18" s="27" t="str">
        <f>IFERROR(IF(VLOOKUP(Table2[[#This Row],['#]],Table3[['#]:[Completion rate]],'High-level overview'!I$9,FALSE)=0,"",VLOOKUP(Table2[[#This Row],['#]],Table3[['#]:[Completion rate]],'High-level overview'!I$9,FALSE)),"")</f>
        <v/>
      </c>
      <c r="J18" s="25" t="str">
        <f>IFERROR(IF(VLOOKUP(Table2[[#This Row],['#]],Table3[['#]:[Completion rate]],'High-level overview'!J$9,FALSE)=0,"",VLOOKUP(Table2[[#This Row],['#]],Table3[['#]:[Completion rate]],'High-level overview'!J$9,FALSE)),"")</f>
        <v/>
      </c>
      <c r="K18" s="25" t="str">
        <f>IFERROR(IF(VLOOKUP(Table2[[#This Row],['#]],Table3[['#]:[Completion rate]],'High-level overview'!K$9,FALSE)=0,"",VLOOKUP(Table2[[#This Row],['#]],Table3[['#]:[Completion rate]],'High-level overview'!K$9,FALSE)),"")</f>
        <v/>
      </c>
      <c r="L18" s="27" t="str">
        <f>IFERROR(IF(VLOOKUP(Table2[[#This Row],['#]],Table3[['#]:[Completion rate]],'High-level overview'!L$9,FALSE)=0,"",VLOOKUP(Table2[[#This Row],['#]],Table3[['#]:[Completion rate]],'High-level overview'!L$9,FALSE)),"")</f>
        <v/>
      </c>
      <c r="M18" s="28" t="str">
        <f>IFERROR(IF(VLOOKUP(Table2[[#This Row],['#]],Table3[['#]:[Completion rate]],'High-level overview'!M$9,FALSE)=0,"",VLOOKUP(Table2[[#This Row],['#]],Table3[['#]:[Completion rate]],'High-level overview'!M$9,FALSE)),"")</f>
        <v/>
      </c>
    </row>
    <row r="19" spans="2:13" ht="23.25" customHeight="1" x14ac:dyDescent="0.25">
      <c r="B19" s="25"/>
      <c r="C19" s="25">
        <v>8</v>
      </c>
      <c r="D19" s="26" t="str">
        <f>IFERROR(IF(VLOOKUP(Table2[[#This Row],['#]],Table3[['#]:[Completion rate]],'High-level overview'!D$9,FALSE)=0,"",VLOOKUP(Table2[[#This Row],['#]],Table3[['#]:[Completion rate]],'High-level overview'!D$9,FALSE)),"")</f>
        <v>Enhance benefits from RTM</v>
      </c>
      <c r="E19" s="26" t="str">
        <f>IFERROR(IF(VLOOKUP(Table2[[#This Row],['#]],Table3[['#]:[Completion rate]],'High-level overview'!E$9,FALSE)=0,"",VLOOKUP(Table2[[#This Row],['#]],Table3[['#]:[Completion rate]],'High-level overview'!E$9,FALSE)),"")</f>
        <v>Finance</v>
      </c>
      <c r="F19" s="26" t="str">
        <f>IFERROR(IF(VLOOKUP(Table2[[#This Row],['#]],Table3[['#]:[Completion rate]],'High-level overview'!F$9,FALSE)=0,"",VLOOKUP(Table2[[#This Row],['#]],Table3[['#]:[Completion rate]],'High-level overview'!F$9,FALSE)),"")</f>
        <v>Sales growth</v>
      </c>
      <c r="G19" s="27" t="str">
        <f>IFERROR(IF(VLOOKUP(Table2[[#This Row],['#]],Table3[['#]:[Completion rate]],'High-level overview'!G$9,FALSE)=0,"",VLOOKUP(Table2[[#This Row],['#]],Table3[['#]:[Completion rate]],'High-level overview'!G$9,FALSE)),"")</f>
        <v>Service function</v>
      </c>
      <c r="H19" s="27" t="str">
        <f>IFERROR(IF(VLOOKUP(Table2[[#This Row],['#]],Table3[['#]:[Completion rate]],'High-level overview'!H$9,FALSE)=0,"",VLOOKUP(Table2[[#This Row],['#]],Table3[['#]:[Completion rate]],'High-level overview'!H$9,FALSE)),"")</f>
        <v>Enhance benefits from RTM</v>
      </c>
      <c r="I19" s="27" t="str">
        <f>IFERROR(IF(VLOOKUP(Table2[[#This Row],['#]],Table3[['#]:[Completion rate]],'High-level overview'!I$9,FALSE)=0,"",VLOOKUP(Table2[[#This Row],['#]],Table3[['#]:[Completion rate]],'High-level overview'!I$9,FALSE)),"")</f>
        <v/>
      </c>
      <c r="J19" s="25" t="str">
        <f>IFERROR(IF(VLOOKUP(Table2[[#This Row],['#]],Table3[['#]:[Completion rate]],'High-level overview'!J$9,FALSE)=0,"",VLOOKUP(Table2[[#This Row],['#]],Table3[['#]:[Completion rate]],'High-level overview'!J$9,FALSE)),"")</f>
        <v/>
      </c>
      <c r="K19" s="25" t="str">
        <f>IFERROR(IF(VLOOKUP(Table2[[#This Row],['#]],Table3[['#]:[Completion rate]],'High-level overview'!K$9,FALSE)=0,"",VLOOKUP(Table2[[#This Row],['#]],Table3[['#]:[Completion rate]],'High-level overview'!K$9,FALSE)),"")</f>
        <v/>
      </c>
      <c r="L19" s="27" t="str">
        <f>IFERROR(IF(VLOOKUP(Table2[[#This Row],['#]],Table3[['#]:[Completion rate]],'High-level overview'!L$9,FALSE)=0,"",VLOOKUP(Table2[[#This Row],['#]],Table3[['#]:[Completion rate]],'High-level overview'!L$9,FALSE)),"")</f>
        <v/>
      </c>
      <c r="M19" s="28" t="str">
        <f>IFERROR(IF(VLOOKUP(Table2[[#This Row],['#]],Table3[['#]:[Completion rate]],'High-level overview'!M$9,FALSE)=0,"",VLOOKUP(Table2[[#This Row],['#]],Table3[['#]:[Completion rate]],'High-level overview'!M$9,FALSE)),"")</f>
        <v/>
      </c>
    </row>
    <row r="20" spans="2:13" ht="23.25" customHeight="1" x14ac:dyDescent="0.25">
      <c r="B20" s="25"/>
      <c r="C20" s="25">
        <v>9</v>
      </c>
      <c r="D20" s="26" t="str">
        <f>IFERROR(IF(VLOOKUP(Table2[[#This Row],['#]],Table3[['#]:[Completion rate]],'High-level overview'!D$9,FALSE)=0,"",VLOOKUP(Table2[[#This Row],['#]],Table3[['#]:[Completion rate]],'High-level overview'!D$9,FALSE)),"")</f>
        <v>Upgrade web shops to 3.0</v>
      </c>
      <c r="E20" s="26" t="str">
        <f>IFERROR(IF(VLOOKUP(Table2[[#This Row],['#]],Table3[['#]:[Completion rate]],'High-level overview'!E$9,FALSE)=0,"",VLOOKUP(Table2[[#This Row],['#]],Table3[['#]:[Completion rate]],'High-level overview'!E$9,FALSE)),"")</f>
        <v>Customer first</v>
      </c>
      <c r="F20" s="26" t="str">
        <f>IFERROR(IF(VLOOKUP(Table2[[#This Row],['#]],Table3[['#]:[Completion rate]],'High-level overview'!F$9,FALSE)=0,"",VLOOKUP(Table2[[#This Row],['#]],Table3[['#]:[Completion rate]],'High-level overview'!F$9,FALSE)),"")</f>
        <v>Easy shopping</v>
      </c>
      <c r="G20" s="27" t="str">
        <f>IFERROR(IF(VLOOKUP(Table2[[#This Row],['#]],Table3[['#]:[Completion rate]],'High-level overview'!G$9,FALSE)=0,"",VLOOKUP(Table2[[#This Row],['#]],Table3[['#]:[Completion rate]],'High-level overview'!G$9,FALSE)),"")</f>
        <v>Service function</v>
      </c>
      <c r="H20" s="27" t="str">
        <f>IFERROR(IF(VLOOKUP(Table2[[#This Row],['#]],Table3[['#]:[Completion rate]],'High-level overview'!H$9,FALSE)=0,"",VLOOKUP(Table2[[#This Row],['#]],Table3[['#]:[Completion rate]],'High-level overview'!H$9,FALSE)),"")</f>
        <v>Upgrade web shops to 3.0</v>
      </c>
      <c r="I20" s="27" t="str">
        <f>IFERROR(IF(VLOOKUP(Table2[[#This Row],['#]],Table3[['#]:[Completion rate]],'High-level overview'!I$9,FALSE)=0,"",VLOOKUP(Table2[[#This Row],['#]],Table3[['#]:[Completion rate]],'High-level overview'!I$9,FALSE)),"")</f>
        <v/>
      </c>
      <c r="J20" s="25" t="str">
        <f>IFERROR(IF(VLOOKUP(Table2[[#This Row],['#]],Table3[['#]:[Completion rate]],'High-level overview'!J$9,FALSE)=0,"",VLOOKUP(Table2[[#This Row],['#]],Table3[['#]:[Completion rate]],'High-level overview'!J$9,FALSE)),"")</f>
        <v/>
      </c>
      <c r="K20" s="25" t="str">
        <f>IFERROR(IF(VLOOKUP(Table2[[#This Row],['#]],Table3[['#]:[Completion rate]],'High-level overview'!K$9,FALSE)=0,"",VLOOKUP(Table2[[#This Row],['#]],Table3[['#]:[Completion rate]],'High-level overview'!K$9,FALSE)),"")</f>
        <v/>
      </c>
      <c r="L20" s="27" t="str">
        <f>IFERROR(IF(VLOOKUP(Table2[[#This Row],['#]],Table3[['#]:[Completion rate]],'High-level overview'!L$9,FALSE)=0,"",VLOOKUP(Table2[[#This Row],['#]],Table3[['#]:[Completion rate]],'High-level overview'!L$9,FALSE)),"")</f>
        <v/>
      </c>
      <c r="M20" s="28" t="str">
        <f>IFERROR(IF(VLOOKUP(Table2[[#This Row],['#]],Table3[['#]:[Completion rate]],'High-level overview'!M$9,FALSE)=0,"",VLOOKUP(Table2[[#This Row],['#]],Table3[['#]:[Completion rate]],'High-level overview'!M$9,FALSE)),"")</f>
        <v/>
      </c>
    </row>
    <row r="21" spans="2:13" ht="23.25" customHeight="1" x14ac:dyDescent="0.25">
      <c r="B21" s="25"/>
      <c r="C21" s="25">
        <v>10</v>
      </c>
      <c r="D21" s="26" t="str">
        <f>IFERROR(IF(VLOOKUP(Table2[[#This Row],['#]],Table3[['#]:[Completion rate]],'High-level overview'!D$9,FALSE)=0,"",VLOOKUP(Table2[[#This Row],['#]],Table3[['#]:[Completion rate]],'High-level overview'!D$9,FALSE)),"")</f>
        <v>Improve delivery stability and service</v>
      </c>
      <c r="E21" s="26" t="str">
        <f>IFERROR(IF(VLOOKUP(Table2[[#This Row],['#]],Table3[['#]:[Completion rate]],'High-level overview'!E$9,FALSE)=0,"",VLOOKUP(Table2[[#This Row],['#]],Table3[['#]:[Completion rate]],'High-level overview'!E$9,FALSE)),"")</f>
        <v>Internal processes</v>
      </c>
      <c r="F21" s="26" t="str">
        <f>IFERROR(IF(VLOOKUP(Table2[[#This Row],['#]],Table3[['#]:[Completion rate]],'High-level overview'!F$9,FALSE)=0,"",VLOOKUP(Table2[[#This Row],['#]],Table3[['#]:[Completion rate]],'High-level overview'!F$9,FALSE)),"")</f>
        <v>Balanced flow of goods</v>
      </c>
      <c r="G21" s="27" t="str">
        <f>IFERROR(IF(VLOOKUP(Table2[[#This Row],['#]],Table3[['#]:[Completion rate]],'High-level overview'!G$9,FALSE)=0,"",VLOOKUP(Table2[[#This Row],['#]],Table3[['#]:[Completion rate]],'High-level overview'!G$9,FALSE)),"")</f>
        <v>Service function</v>
      </c>
      <c r="H21" s="27" t="str">
        <f>IFERROR(IF(VLOOKUP(Table2[[#This Row],['#]],Table3[['#]:[Completion rate]],'High-level overview'!H$9,FALSE)=0,"",VLOOKUP(Table2[[#This Row],['#]],Table3[['#]:[Completion rate]],'High-level overview'!H$9,FALSE)),"")</f>
        <v>Improve delivery stability and service</v>
      </c>
      <c r="I21" s="27" t="str">
        <f>IFERROR(IF(VLOOKUP(Table2[[#This Row],['#]],Table3[['#]:[Completion rate]],'High-level overview'!I$9,FALSE)=0,"",VLOOKUP(Table2[[#This Row],['#]],Table3[['#]:[Completion rate]],'High-level overview'!I$9,FALSE)),"")</f>
        <v/>
      </c>
      <c r="J21" s="25" t="str">
        <f>IFERROR(IF(VLOOKUP(Table2[[#This Row],['#]],Table3[['#]:[Completion rate]],'High-level overview'!J$9,FALSE)=0,"",VLOOKUP(Table2[[#This Row],['#]],Table3[['#]:[Completion rate]],'High-level overview'!J$9,FALSE)),"")</f>
        <v/>
      </c>
      <c r="K21" s="25" t="str">
        <f>IFERROR(IF(VLOOKUP(Table2[[#This Row],['#]],Table3[['#]:[Completion rate]],'High-level overview'!K$9,FALSE)=0,"",VLOOKUP(Table2[[#This Row],['#]],Table3[['#]:[Completion rate]],'High-level overview'!K$9,FALSE)),"")</f>
        <v/>
      </c>
      <c r="L21" s="27" t="str">
        <f>IFERROR(IF(VLOOKUP(Table2[[#This Row],['#]],Table3[['#]:[Completion rate]],'High-level overview'!L$9,FALSE)=0,"",VLOOKUP(Table2[[#This Row],['#]],Table3[['#]:[Completion rate]],'High-level overview'!L$9,FALSE)),"")</f>
        <v/>
      </c>
      <c r="M21" s="28" t="str">
        <f>IFERROR(IF(VLOOKUP(Table2[[#This Row],['#]],Table3[['#]:[Completion rate]],'High-level overview'!M$9,FALSE)=0,"",VLOOKUP(Table2[[#This Row],['#]],Table3[['#]:[Completion rate]],'High-level overview'!M$9,FALSE)),"")</f>
        <v/>
      </c>
    </row>
    <row r="22" spans="2:13" ht="23.25" customHeight="1" x14ac:dyDescent="0.25">
      <c r="B22" s="25"/>
      <c r="C22" s="25">
        <v>11</v>
      </c>
      <c r="D22" s="26" t="str">
        <f>IFERROR(IF(VLOOKUP(Table2[[#This Row],['#]],Table3[['#]:[Completion rate]],'High-level overview'!D$9,FALSE)=0,"",VLOOKUP(Table2[[#This Row],['#]],Table3[['#]:[Completion rate]],'High-level overview'!D$9,FALSE)),"")</f>
        <v>Simplify communication to stores</v>
      </c>
      <c r="E22" s="26" t="str">
        <f>IFERROR(IF(VLOOKUP(Table2[[#This Row],['#]],Table3[['#]:[Completion rate]],'High-level overview'!E$9,FALSE)=0,"",VLOOKUP(Table2[[#This Row],['#]],Table3[['#]:[Completion rate]],'High-level overview'!E$9,FALSE)),"")</f>
        <v>Internal processes</v>
      </c>
      <c r="F22" s="26" t="str">
        <f>IFERROR(IF(VLOOKUP(Table2[[#This Row],['#]],Table3[['#]:[Completion rate]],'High-level overview'!F$9,FALSE)=0,"",VLOOKUP(Table2[[#This Row],['#]],Table3[['#]:[Completion rate]],'High-level overview'!F$9,FALSE)),"")</f>
        <v>Attractive stores</v>
      </c>
      <c r="G22" s="27" t="str">
        <f>IFERROR(IF(VLOOKUP(Table2[[#This Row],['#]],Table3[['#]:[Completion rate]],'High-level overview'!G$9,FALSE)=0,"",VLOOKUP(Table2[[#This Row],['#]],Table3[['#]:[Completion rate]],'High-level overview'!G$9,FALSE)),"")</f>
        <v>Service function</v>
      </c>
      <c r="H22" s="27" t="str">
        <f>IFERROR(IF(VLOOKUP(Table2[[#This Row],['#]],Table3[['#]:[Completion rate]],'High-level overview'!H$9,FALSE)=0,"",VLOOKUP(Table2[[#This Row],['#]],Table3[['#]:[Completion rate]],'High-level overview'!H$9,FALSE)),"")</f>
        <v>Simplify communication to stores</v>
      </c>
      <c r="I22" s="27" t="str">
        <f>IFERROR(IF(VLOOKUP(Table2[[#This Row],['#]],Table3[['#]:[Completion rate]],'High-level overview'!I$9,FALSE)=0,"",VLOOKUP(Table2[[#This Row],['#]],Table3[['#]:[Completion rate]],'High-level overview'!I$9,FALSE)),"")</f>
        <v/>
      </c>
      <c r="J22" s="25" t="str">
        <f>IFERROR(IF(VLOOKUP(Table2[[#This Row],['#]],Table3[['#]:[Completion rate]],'High-level overview'!J$9,FALSE)=0,"",VLOOKUP(Table2[[#This Row],['#]],Table3[['#]:[Completion rate]],'High-level overview'!J$9,FALSE)),"")</f>
        <v/>
      </c>
      <c r="K22" s="25" t="str">
        <f>IFERROR(IF(VLOOKUP(Table2[[#This Row],['#]],Table3[['#]:[Completion rate]],'High-level overview'!K$9,FALSE)=0,"",VLOOKUP(Table2[[#This Row],['#]],Table3[['#]:[Completion rate]],'High-level overview'!K$9,FALSE)),"")</f>
        <v/>
      </c>
      <c r="L22" s="27" t="str">
        <f>IFERROR(IF(VLOOKUP(Table2[[#This Row],['#]],Table3[['#]:[Completion rate]],'High-level overview'!L$9,FALSE)=0,"",VLOOKUP(Table2[[#This Row],['#]],Table3[['#]:[Completion rate]],'High-level overview'!L$9,FALSE)),"")</f>
        <v/>
      </c>
      <c r="M22" s="28" t="str">
        <f>IFERROR(IF(VLOOKUP(Table2[[#This Row],['#]],Table3[['#]:[Completion rate]],'High-level overview'!M$9,FALSE)=0,"",VLOOKUP(Table2[[#This Row],['#]],Table3[['#]:[Completion rate]],'High-level overview'!M$9,FALSE)),"")</f>
        <v/>
      </c>
    </row>
    <row r="23" spans="2:13" ht="23.25" customHeight="1" x14ac:dyDescent="0.25">
      <c r="B23" s="25"/>
      <c r="C23" s="25">
        <v>12</v>
      </c>
      <c r="D23" s="26" t="str">
        <f>IFERROR(IF(VLOOKUP(Table2[[#This Row],['#]],Table3[['#]:[Completion rate]],'High-level overview'!D$9,FALSE)=0,"",VLOOKUP(Table2[[#This Row],['#]],Table3[['#]:[Completion rate]],'High-level overview'!D$9,FALSE)),"")</f>
        <v>Improve situation-based marketing and branding</v>
      </c>
      <c r="E23" s="26" t="str">
        <f>IFERROR(IF(VLOOKUP(Table2[[#This Row],['#]],Table3[['#]:[Completion rate]],'High-level overview'!E$9,FALSE)=0,"",VLOOKUP(Table2[[#This Row],['#]],Table3[['#]:[Completion rate]],'High-level overview'!E$9,FALSE)),"")</f>
        <v>Internal processes</v>
      </c>
      <c r="F23" s="26" t="str">
        <f>IFERROR(IF(VLOOKUP(Table2[[#This Row],['#]],Table3[['#]:[Completion rate]],'High-level overview'!F$9,FALSE)=0,"",VLOOKUP(Table2[[#This Row],['#]],Table3[['#]:[Completion rate]],'High-level overview'!F$9,FALSE)),"")</f>
        <v>Effective marketing</v>
      </c>
      <c r="G23" s="27" t="str">
        <f>IFERROR(IF(VLOOKUP(Table2[[#This Row],['#]],Table3[['#]:[Completion rate]],'High-level overview'!G$9,FALSE)=0,"",VLOOKUP(Table2[[#This Row],['#]],Table3[['#]:[Completion rate]],'High-level overview'!G$9,FALSE)),"")</f>
        <v>Service function</v>
      </c>
      <c r="H23" s="27" t="str">
        <f>IFERROR(IF(VLOOKUP(Table2[[#This Row],['#]],Table3[['#]:[Completion rate]],'High-level overview'!H$9,FALSE)=0,"",VLOOKUP(Table2[[#This Row],['#]],Table3[['#]:[Completion rate]],'High-level overview'!H$9,FALSE)),"")</f>
        <v>Improve situation-based marketing and branding</v>
      </c>
      <c r="I23" s="27" t="str">
        <f>IFERROR(IF(VLOOKUP(Table2[[#This Row],['#]],Table3[['#]:[Completion rate]],'High-level overview'!I$9,FALSE)=0,"",VLOOKUP(Table2[[#This Row],['#]],Table3[['#]:[Completion rate]],'High-level overview'!I$9,FALSE)),"")</f>
        <v/>
      </c>
      <c r="J23" s="25" t="str">
        <f>IFERROR(IF(VLOOKUP(Table2[[#This Row],['#]],Table3[['#]:[Completion rate]],'High-level overview'!J$9,FALSE)=0,"",VLOOKUP(Table2[[#This Row],['#]],Table3[['#]:[Completion rate]],'High-level overview'!J$9,FALSE)),"")</f>
        <v/>
      </c>
      <c r="K23" s="25" t="str">
        <f>IFERROR(IF(VLOOKUP(Table2[[#This Row],['#]],Table3[['#]:[Completion rate]],'High-level overview'!K$9,FALSE)=0,"",VLOOKUP(Table2[[#This Row],['#]],Table3[['#]:[Completion rate]],'High-level overview'!K$9,FALSE)),"")</f>
        <v/>
      </c>
      <c r="L23" s="27" t="str">
        <f>IFERROR(IF(VLOOKUP(Table2[[#This Row],['#]],Table3[['#]:[Completion rate]],'High-level overview'!L$9,FALSE)=0,"",VLOOKUP(Table2[[#This Row],['#]],Table3[['#]:[Completion rate]],'High-level overview'!L$9,FALSE)),"")</f>
        <v/>
      </c>
      <c r="M23" s="28" t="str">
        <f>IFERROR(IF(VLOOKUP(Table2[[#This Row],['#]],Table3[['#]:[Completion rate]],'High-level overview'!M$9,FALSE)=0,"",VLOOKUP(Table2[[#This Row],['#]],Table3[['#]:[Completion rate]],'High-level overview'!M$9,FALSE)),"")</f>
        <v/>
      </c>
    </row>
    <row r="24" spans="2:13" ht="23.25" customHeight="1" x14ac:dyDescent="0.25">
      <c r="B24" s="25"/>
      <c r="C24" s="25">
        <v>13</v>
      </c>
      <c r="D24" s="26" t="str">
        <f>IFERROR(IF(VLOOKUP(Table2[[#This Row],['#]],Table3[['#]:[Completion rate]],'High-level overview'!D$9,FALSE)=0,"",VLOOKUP(Table2[[#This Row],['#]],Table3[['#]:[Completion rate]],'High-level overview'!D$9,FALSE)),"")</f>
        <v>Make “Great offers” more visible</v>
      </c>
      <c r="E24" s="26" t="str">
        <f>IFERROR(IF(VLOOKUP(Table2[[#This Row],['#]],Table3[['#]:[Completion rate]],'High-level overview'!E$9,FALSE)=0,"",VLOOKUP(Table2[[#This Row],['#]],Table3[['#]:[Completion rate]],'High-level overview'!E$9,FALSE)),"")</f>
        <v>Internal processes</v>
      </c>
      <c r="F24" s="26" t="str">
        <f>IFERROR(IF(VLOOKUP(Table2[[#This Row],['#]],Table3[['#]:[Completion rate]],'High-level overview'!F$9,FALSE)=0,"",VLOOKUP(Table2[[#This Row],['#]],Table3[['#]:[Completion rate]],'High-level overview'!F$9,FALSE)),"")</f>
        <v>Effective marketing</v>
      </c>
      <c r="G24" s="27" t="str">
        <f>IFERROR(IF(VLOOKUP(Table2[[#This Row],['#]],Table3[['#]:[Completion rate]],'High-level overview'!G$9,FALSE)=0,"",VLOOKUP(Table2[[#This Row],['#]],Table3[['#]:[Completion rate]],'High-level overview'!G$9,FALSE)),"")</f>
        <v>Service function</v>
      </c>
      <c r="H24" s="27" t="str">
        <f>IFERROR(IF(VLOOKUP(Table2[[#This Row],['#]],Table3[['#]:[Completion rate]],'High-level overview'!H$9,FALSE)=0,"",VLOOKUP(Table2[[#This Row],['#]],Table3[['#]:[Completion rate]],'High-level overview'!H$9,FALSE)),"")</f>
        <v>Make “Great offers” more visible</v>
      </c>
      <c r="I24" s="27" t="str">
        <f>IFERROR(IF(VLOOKUP(Table2[[#This Row],['#]],Table3[['#]:[Completion rate]],'High-level overview'!I$9,FALSE)=0,"",VLOOKUP(Table2[[#This Row],['#]],Table3[['#]:[Completion rate]],'High-level overview'!I$9,FALSE)),"")</f>
        <v/>
      </c>
      <c r="J24" s="25" t="str">
        <f>IFERROR(IF(VLOOKUP(Table2[[#This Row],['#]],Table3[['#]:[Completion rate]],'High-level overview'!J$9,FALSE)=0,"",VLOOKUP(Table2[[#This Row],['#]],Table3[['#]:[Completion rate]],'High-level overview'!J$9,FALSE)),"")</f>
        <v/>
      </c>
      <c r="K24" s="25" t="str">
        <f>IFERROR(IF(VLOOKUP(Table2[[#This Row],['#]],Table3[['#]:[Completion rate]],'High-level overview'!K$9,FALSE)=0,"",VLOOKUP(Table2[[#This Row],['#]],Table3[['#]:[Completion rate]],'High-level overview'!K$9,FALSE)),"")</f>
        <v/>
      </c>
      <c r="L24" s="27" t="str">
        <f>IFERROR(IF(VLOOKUP(Table2[[#This Row],['#]],Table3[['#]:[Completion rate]],'High-level overview'!L$9,FALSE)=0,"",VLOOKUP(Table2[[#This Row],['#]],Table3[['#]:[Completion rate]],'High-level overview'!L$9,FALSE)),"")</f>
        <v/>
      </c>
      <c r="M24" s="28" t="str">
        <f>IFERROR(IF(VLOOKUP(Table2[[#This Row],['#]],Table3[['#]:[Completion rate]],'High-level overview'!M$9,FALSE)=0,"",VLOOKUP(Table2[[#This Row],['#]],Table3[['#]:[Completion rate]],'High-level overview'!M$9,FALSE)),"")</f>
        <v/>
      </c>
    </row>
    <row r="25" spans="2:13" ht="23.25" customHeight="1" x14ac:dyDescent="0.25">
      <c r="B25" s="25"/>
      <c r="C25" s="25">
        <v>14</v>
      </c>
      <c r="D25" s="26" t="str">
        <f>IFERROR(IF(VLOOKUP(Table2[[#This Row],['#]],Table3[['#]:[Completion rate]],'High-level overview'!D$9,FALSE)=0,"",VLOOKUP(Table2[[#This Row],['#]],Table3[['#]:[Completion rate]],'High-level overview'!D$9,FALSE)),"")</f>
        <v>Improve online performance</v>
      </c>
      <c r="E25" s="26" t="str">
        <f>IFERROR(IF(VLOOKUP(Table2[[#This Row],['#]],Table3[['#]:[Completion rate]],'High-level overview'!E$9,FALSE)=0,"",VLOOKUP(Table2[[#This Row],['#]],Table3[['#]:[Completion rate]],'High-level overview'!E$9,FALSE)),"")</f>
        <v>Customer First</v>
      </c>
      <c r="F25" s="26" t="str">
        <f>IFERROR(IF(VLOOKUP(Table2[[#This Row],['#]],Table3[['#]:[Completion rate]],'High-level overview'!F$9,FALSE)=0,"",VLOOKUP(Table2[[#This Row],['#]],Table3[['#]:[Completion rate]],'High-level overview'!F$9,FALSE)),"")</f>
        <v>Easy shopping</v>
      </c>
      <c r="G25" s="27" t="str">
        <f>IFERROR(IF(VLOOKUP(Table2[[#This Row],['#]],Table3[['#]:[Completion rate]],'High-level overview'!G$9,FALSE)=0,"",VLOOKUP(Table2[[#This Row],['#]],Table3[['#]:[Completion rate]],'High-level overview'!G$9,FALSE)),"")</f>
        <v>Local</v>
      </c>
      <c r="H25" s="27" t="str">
        <f>IFERROR(IF(VLOOKUP(Table2[[#This Row],['#]],Table3[['#]:[Completion rate]],'High-level overview'!H$9,FALSE)=0,"",VLOOKUP(Table2[[#This Row],['#]],Table3[['#]:[Completion rate]],'High-level overview'!H$9,FALSE)),"")</f>
        <v>Improve online performance</v>
      </c>
      <c r="I25" s="27" t="str">
        <f>IFERROR(IF(VLOOKUP(Table2[[#This Row],['#]],Table3[['#]:[Completion rate]],'High-level overview'!I$9,FALSE)=0,"",VLOOKUP(Table2[[#This Row],['#]],Table3[['#]:[Completion rate]],'High-level overview'!I$9,FALSE)),"")</f>
        <v>IPR</v>
      </c>
      <c r="J25" s="25" t="str">
        <f>IFERROR(IF(VLOOKUP(Table2[[#This Row],['#]],Table3[['#]:[Completion rate]],'High-level overview'!J$9,FALSE)=0,"",VLOOKUP(Table2[[#This Row],['#]],Table3[['#]:[Completion rate]],'High-level overview'!J$9,FALSE)),"")</f>
        <v/>
      </c>
      <c r="K25" s="25" t="str">
        <f>IFERROR(IF(VLOOKUP(Table2[[#This Row],['#]],Table3[['#]:[Completion rate]],'High-level overview'!K$9,FALSE)=0,"",VLOOKUP(Table2[[#This Row],['#]],Table3[['#]:[Completion rate]],'High-level overview'!K$9,FALSE)),"")</f>
        <v/>
      </c>
      <c r="L25" s="27" t="str">
        <f>IFERROR(IF(VLOOKUP(Table2[[#This Row],['#]],Table3[['#]:[Completion rate]],'High-level overview'!L$9,FALSE)=0,"",VLOOKUP(Table2[[#This Row],['#]],Table3[['#]:[Completion rate]],'High-level overview'!L$9,FALSE)),"")</f>
        <v/>
      </c>
      <c r="M25" s="28" t="str">
        <f>IFERROR(IF(VLOOKUP(Table2[[#This Row],['#]],Table3[['#]:[Completion rate]],'High-level overview'!M$9,FALSE)=0,"",VLOOKUP(Table2[[#This Row],['#]],Table3[['#]:[Completion rate]],'High-level overview'!M$9,FALSE)),"")</f>
        <v/>
      </c>
    </row>
    <row r="26" spans="2:13" ht="23.25" customHeight="1" x14ac:dyDescent="0.25">
      <c r="B26" s="25"/>
      <c r="C26" s="25">
        <v>15</v>
      </c>
      <c r="D26" s="26" t="str">
        <f>IFERROR(IF(VLOOKUP(Table2[[#This Row],['#]],Table3[['#]:[Completion rate]],'High-level overview'!D$9,FALSE)=0,"",VLOOKUP(Table2[[#This Row],['#]],Table3[['#]:[Completion rate]],'High-level overview'!D$9,FALSE)),"")</f>
        <v>Optimize stock in stores</v>
      </c>
      <c r="E26" s="26" t="str">
        <f>IFERROR(IF(VLOOKUP(Table2[[#This Row],['#]],Table3[['#]:[Completion rate]],'High-level overview'!E$9,FALSE)=0,"",VLOOKUP(Table2[[#This Row],['#]],Table3[['#]:[Completion rate]],'High-level overview'!E$9,FALSE)),"")</f>
        <v>Internal processes</v>
      </c>
      <c r="F26" s="26" t="str">
        <f>IFERROR(IF(VLOOKUP(Table2[[#This Row],['#]],Table3[['#]:[Completion rate]],'High-level overview'!F$9,FALSE)=0,"",VLOOKUP(Table2[[#This Row],['#]],Table3[['#]:[Completion rate]],'High-level overview'!F$9,FALSE)),"")</f>
        <v>Attractive stores</v>
      </c>
      <c r="G26" s="27" t="str">
        <f>IFERROR(IF(VLOOKUP(Table2[[#This Row],['#]],Table3[['#]:[Completion rate]],'High-level overview'!G$9,FALSE)=0,"",VLOOKUP(Table2[[#This Row],['#]],Table3[['#]:[Completion rate]],'High-level overview'!G$9,FALSE)),"")</f>
        <v>Local</v>
      </c>
      <c r="H26" s="27" t="str">
        <f>IFERROR(IF(VLOOKUP(Table2[[#This Row],['#]],Table3[['#]:[Completion rate]],'High-level overview'!H$9,FALSE)=0,"",VLOOKUP(Table2[[#This Row],['#]],Table3[['#]:[Completion rate]],'High-level overview'!H$9,FALSE)),"")</f>
        <v>Optimize stock in stores</v>
      </c>
      <c r="I26" s="27" t="str">
        <f>IFERROR(IF(VLOOKUP(Table2[[#This Row],['#]],Table3[['#]:[Completion rate]],'High-level overview'!I$9,FALSE)=0,"",VLOOKUP(Table2[[#This Row],['#]],Table3[['#]:[Completion rate]],'High-level overview'!I$9,FALSE)),"")</f>
        <v>MSTEV</v>
      </c>
      <c r="J26" s="25" t="str">
        <f>IFERROR(IF(VLOOKUP(Table2[[#This Row],['#]],Table3[['#]:[Completion rate]],'High-level overview'!J$9,FALSE)=0,"",VLOOKUP(Table2[[#This Row],['#]],Table3[['#]:[Completion rate]],'High-level overview'!J$9,FALSE)),"")</f>
        <v/>
      </c>
      <c r="K26" s="25" t="str">
        <f>IFERROR(IF(VLOOKUP(Table2[[#This Row],['#]],Table3[['#]:[Completion rate]],'High-level overview'!K$9,FALSE)=0,"",VLOOKUP(Table2[[#This Row],['#]],Table3[['#]:[Completion rate]],'High-level overview'!K$9,FALSE)),"")</f>
        <v/>
      </c>
      <c r="L26" s="27" t="str">
        <f>IFERROR(IF(VLOOKUP(Table2[[#This Row],['#]],Table3[['#]:[Completion rate]],'High-level overview'!L$9,FALSE)=0,"",VLOOKUP(Table2[[#This Row],['#]],Table3[['#]:[Completion rate]],'High-level overview'!L$9,FALSE)),"")</f>
        <v/>
      </c>
      <c r="M26" s="28" t="str">
        <f>IFERROR(IF(VLOOKUP(Table2[[#This Row],['#]],Table3[['#]:[Completion rate]],'High-level overview'!M$9,FALSE)=0,"",VLOOKUP(Table2[[#This Row],['#]],Table3[['#]:[Completion rate]],'High-level overview'!M$9,FALSE)),"")</f>
        <v/>
      </c>
    </row>
    <row r="27" spans="2:13" ht="23.25" customHeight="1" x14ac:dyDescent="0.25">
      <c r="B27" s="25"/>
      <c r="C27" s="25">
        <v>16</v>
      </c>
      <c r="D27" s="26" t="str">
        <f>IFERROR(IF(VLOOKUP(Table2[[#This Row],['#]],Table3[['#]:[Completion rate]],'High-level overview'!D$9,FALSE)=0,"",VLOOKUP(Table2[[#This Row],['#]],Table3[['#]:[Completion rate]],'High-level overview'!D$9,FALSE)),"")</f>
        <v/>
      </c>
      <c r="E27" s="26" t="str">
        <f>IFERROR(IF(VLOOKUP(Table2[[#This Row],['#]],Table3[['#]:[Completion rate]],'High-level overview'!E$9,FALSE)=0,"",VLOOKUP(Table2[[#This Row],['#]],Table3[['#]:[Completion rate]],'High-level overview'!E$9,FALSE)),"")</f>
        <v/>
      </c>
      <c r="F27" s="26" t="str">
        <f>IFERROR(IF(VLOOKUP(Table2[[#This Row],['#]],Table3[['#]:[Completion rate]],'High-level overview'!F$9,FALSE)=0,"",VLOOKUP(Table2[[#This Row],['#]],Table3[['#]:[Completion rate]],'High-level overview'!F$9,FALSE)),"")</f>
        <v/>
      </c>
      <c r="G27" s="27" t="str">
        <f>IFERROR(IF(VLOOKUP(Table2[[#This Row],['#]],Table3[['#]:[Completion rate]],'High-level overview'!G$9,FALSE)=0,"",VLOOKUP(Table2[[#This Row],['#]],Table3[['#]:[Completion rate]],'High-level overview'!G$9,FALSE)),"")</f>
        <v/>
      </c>
      <c r="H27" s="27" t="str">
        <f>IFERROR(IF(VLOOKUP(Table2[[#This Row],['#]],Table3[['#]:[Completion rate]],'High-level overview'!H$9,FALSE)=0,"",VLOOKUP(Table2[[#This Row],['#]],Table3[['#]:[Completion rate]],'High-level overview'!H$9,FALSE)),"")</f>
        <v/>
      </c>
      <c r="I27" s="27" t="str">
        <f>IFERROR(IF(VLOOKUP(Table2[[#This Row],['#]],Table3[['#]:[Completion rate]],'High-level overview'!I$9,FALSE)=0,"",VLOOKUP(Table2[[#This Row],['#]],Table3[['#]:[Completion rate]],'High-level overview'!I$9,FALSE)),"")</f>
        <v/>
      </c>
      <c r="J27" s="25" t="str">
        <f>IFERROR(IF(VLOOKUP(Table2[[#This Row],['#]],Table3[['#]:[Completion rate]],'High-level overview'!J$9,FALSE)=0,"",VLOOKUP(Table2[[#This Row],['#]],Table3[['#]:[Completion rate]],'High-level overview'!J$9,FALSE)),"")</f>
        <v/>
      </c>
      <c r="K27" s="25" t="str">
        <f>IFERROR(IF(VLOOKUP(Table2[[#This Row],['#]],Table3[['#]:[Completion rate]],'High-level overview'!K$9,FALSE)=0,"",VLOOKUP(Table2[[#This Row],['#]],Table3[['#]:[Completion rate]],'High-level overview'!K$9,FALSE)),"")</f>
        <v/>
      </c>
      <c r="L27" s="27" t="str">
        <f>IFERROR(IF(VLOOKUP(Table2[[#This Row],['#]],Table3[['#]:[Completion rate]],'High-level overview'!L$9,FALSE)=0,"",VLOOKUP(Table2[[#This Row],['#]],Table3[['#]:[Completion rate]],'High-level overview'!L$9,FALSE)),"")</f>
        <v/>
      </c>
      <c r="M27" s="28" t="str">
        <f>IFERROR(IF(VLOOKUP(Table2[[#This Row],['#]],Table3[['#]:[Completion rate]],'High-level overview'!M$9,FALSE)=0,"",VLOOKUP(Table2[[#This Row],['#]],Table3[['#]:[Completion rate]],'High-level overview'!M$9,FALSE)),"")</f>
        <v/>
      </c>
    </row>
    <row r="28" spans="2:13" ht="23.25" customHeight="1" x14ac:dyDescent="0.25">
      <c r="B28" s="25"/>
      <c r="C28" s="25">
        <v>17</v>
      </c>
      <c r="D28" s="26" t="str">
        <f>IFERROR(IF(VLOOKUP(Table2[[#This Row],['#]],Table3[['#]:[Completion rate]],'High-level overview'!D$9,FALSE)=0,"",VLOOKUP(Table2[[#This Row],['#]],Table3[['#]:[Completion rate]],'High-level overview'!D$9,FALSE)),"")</f>
        <v/>
      </c>
      <c r="E28" s="26" t="str">
        <f>IFERROR(IF(VLOOKUP(Table2[[#This Row],['#]],Table3[['#]:[Completion rate]],'High-level overview'!E$9,FALSE)=0,"",VLOOKUP(Table2[[#This Row],['#]],Table3[['#]:[Completion rate]],'High-level overview'!E$9,FALSE)),"")</f>
        <v/>
      </c>
      <c r="F28" s="26" t="str">
        <f>IFERROR(IF(VLOOKUP(Table2[[#This Row],['#]],Table3[['#]:[Completion rate]],'High-level overview'!F$9,FALSE)=0,"",VLOOKUP(Table2[[#This Row],['#]],Table3[['#]:[Completion rate]],'High-level overview'!F$9,FALSE)),"")</f>
        <v/>
      </c>
      <c r="G28" s="27" t="str">
        <f>IFERROR(IF(VLOOKUP(Table2[[#This Row],['#]],Table3[['#]:[Completion rate]],'High-level overview'!G$9,FALSE)=0,"",VLOOKUP(Table2[[#This Row],['#]],Table3[['#]:[Completion rate]],'High-level overview'!G$9,FALSE)),"")</f>
        <v/>
      </c>
      <c r="H28" s="27" t="str">
        <f>IFERROR(IF(VLOOKUP(Table2[[#This Row],['#]],Table3[['#]:[Completion rate]],'High-level overview'!H$9,FALSE)=0,"",VLOOKUP(Table2[[#This Row],['#]],Table3[['#]:[Completion rate]],'High-level overview'!H$9,FALSE)),"")</f>
        <v/>
      </c>
      <c r="I28" s="27" t="str">
        <f>IFERROR(IF(VLOOKUP(Table2[[#This Row],['#]],Table3[['#]:[Completion rate]],'High-level overview'!I$9,FALSE)=0,"",VLOOKUP(Table2[[#This Row],['#]],Table3[['#]:[Completion rate]],'High-level overview'!I$9,FALSE)),"")</f>
        <v/>
      </c>
      <c r="J28" s="25" t="str">
        <f>IFERROR(IF(VLOOKUP(Table2[[#This Row],['#]],Table3[['#]:[Completion rate]],'High-level overview'!J$9,FALSE)=0,"",VLOOKUP(Table2[[#This Row],['#]],Table3[['#]:[Completion rate]],'High-level overview'!J$9,FALSE)),"")</f>
        <v/>
      </c>
      <c r="K28" s="25" t="str">
        <f>IFERROR(IF(VLOOKUP(Table2[[#This Row],['#]],Table3[['#]:[Completion rate]],'High-level overview'!K$9,FALSE)=0,"",VLOOKUP(Table2[[#This Row],['#]],Table3[['#]:[Completion rate]],'High-level overview'!K$9,FALSE)),"")</f>
        <v/>
      </c>
      <c r="L28" s="27" t="str">
        <f>IFERROR(IF(VLOOKUP(Table2[[#This Row],['#]],Table3[['#]:[Completion rate]],'High-level overview'!L$9,FALSE)=0,"",VLOOKUP(Table2[[#This Row],['#]],Table3[['#]:[Completion rate]],'High-level overview'!L$9,FALSE)),"")</f>
        <v/>
      </c>
      <c r="M28" s="28" t="str">
        <f>IFERROR(IF(VLOOKUP(Table2[[#This Row],['#]],Table3[['#]:[Completion rate]],'High-level overview'!M$9,FALSE)=0,"",VLOOKUP(Table2[[#This Row],['#]],Table3[['#]:[Completion rate]],'High-level overview'!M$9,FALSE)),"")</f>
        <v/>
      </c>
    </row>
    <row r="29" spans="2:13" ht="23.25" customHeight="1" x14ac:dyDescent="0.25">
      <c r="B29" s="25"/>
      <c r="C29" s="25">
        <v>18</v>
      </c>
      <c r="D29" s="26" t="str">
        <f>IFERROR(IF(VLOOKUP(Table2[[#This Row],['#]],Table3[['#]:[Completion rate]],'High-level overview'!D$9,FALSE)=0,"",VLOOKUP(Table2[[#This Row],['#]],Table3[['#]:[Completion rate]],'High-level overview'!D$9,FALSE)),"")</f>
        <v/>
      </c>
      <c r="E29" s="26" t="str">
        <f>IFERROR(IF(VLOOKUP(Table2[[#This Row],['#]],Table3[['#]:[Completion rate]],'High-level overview'!E$9,FALSE)=0,"",VLOOKUP(Table2[[#This Row],['#]],Table3[['#]:[Completion rate]],'High-level overview'!E$9,FALSE)),"")</f>
        <v/>
      </c>
      <c r="F29" s="26" t="str">
        <f>IFERROR(IF(VLOOKUP(Table2[[#This Row],['#]],Table3[['#]:[Completion rate]],'High-level overview'!F$9,FALSE)=0,"",VLOOKUP(Table2[[#This Row],['#]],Table3[['#]:[Completion rate]],'High-level overview'!F$9,FALSE)),"")</f>
        <v/>
      </c>
      <c r="G29" s="27" t="str">
        <f>IFERROR(IF(VLOOKUP(Table2[[#This Row],['#]],Table3[['#]:[Completion rate]],'High-level overview'!G$9,FALSE)=0,"",VLOOKUP(Table2[[#This Row],['#]],Table3[['#]:[Completion rate]],'High-level overview'!G$9,FALSE)),"")</f>
        <v/>
      </c>
      <c r="H29" s="27" t="str">
        <f>IFERROR(IF(VLOOKUP(Table2[[#This Row],['#]],Table3[['#]:[Completion rate]],'High-level overview'!H$9,FALSE)=0,"",VLOOKUP(Table2[[#This Row],['#]],Table3[['#]:[Completion rate]],'High-level overview'!H$9,FALSE)),"")</f>
        <v/>
      </c>
      <c r="I29" s="27" t="str">
        <f>IFERROR(IF(VLOOKUP(Table2[[#This Row],['#]],Table3[['#]:[Completion rate]],'High-level overview'!I$9,FALSE)=0,"",VLOOKUP(Table2[[#This Row],['#]],Table3[['#]:[Completion rate]],'High-level overview'!I$9,FALSE)),"")</f>
        <v/>
      </c>
      <c r="J29" s="25" t="str">
        <f>IFERROR(IF(VLOOKUP(Table2[[#This Row],['#]],Table3[['#]:[Completion rate]],'High-level overview'!J$9,FALSE)=0,"",VLOOKUP(Table2[[#This Row],['#]],Table3[['#]:[Completion rate]],'High-level overview'!J$9,FALSE)),"")</f>
        <v/>
      </c>
      <c r="K29" s="25" t="str">
        <f>IFERROR(IF(VLOOKUP(Table2[[#This Row],['#]],Table3[['#]:[Completion rate]],'High-level overview'!K$9,FALSE)=0,"",VLOOKUP(Table2[[#This Row],['#]],Table3[['#]:[Completion rate]],'High-level overview'!K$9,FALSE)),"")</f>
        <v/>
      </c>
      <c r="L29" s="27" t="str">
        <f>IFERROR(IF(VLOOKUP(Table2[[#This Row],['#]],Table3[['#]:[Completion rate]],'High-level overview'!L$9,FALSE)=0,"",VLOOKUP(Table2[[#This Row],['#]],Table3[['#]:[Completion rate]],'High-level overview'!L$9,FALSE)),"")</f>
        <v/>
      </c>
      <c r="M29" s="28" t="str">
        <f>IFERROR(IF(VLOOKUP(Table2[[#This Row],['#]],Table3[['#]:[Completion rate]],'High-level overview'!M$9,FALSE)=0,"",VLOOKUP(Table2[[#This Row],['#]],Table3[['#]:[Completion rate]],'High-level overview'!M$9,FALSE)),"")</f>
        <v/>
      </c>
    </row>
    <row r="30" spans="2:13" ht="23.25" customHeight="1" x14ac:dyDescent="0.25">
      <c r="B30" s="25"/>
      <c r="C30" s="25">
        <v>19</v>
      </c>
      <c r="D30" s="26" t="str">
        <f>IFERROR(IF(VLOOKUP(Table2[[#This Row],['#]],Table3[['#]:[Completion rate]],'High-level overview'!D$9,FALSE)=0,"",VLOOKUP(Table2[[#This Row],['#]],Table3[['#]:[Completion rate]],'High-level overview'!D$9,FALSE)),"")</f>
        <v/>
      </c>
      <c r="E30" s="26" t="str">
        <f>IFERROR(IF(VLOOKUP(Table2[[#This Row],['#]],Table3[['#]:[Completion rate]],'High-level overview'!E$9,FALSE)=0,"",VLOOKUP(Table2[[#This Row],['#]],Table3[['#]:[Completion rate]],'High-level overview'!E$9,FALSE)),"")</f>
        <v/>
      </c>
      <c r="F30" s="26" t="str">
        <f>IFERROR(IF(VLOOKUP(Table2[[#This Row],['#]],Table3[['#]:[Completion rate]],'High-level overview'!F$9,FALSE)=0,"",VLOOKUP(Table2[[#This Row],['#]],Table3[['#]:[Completion rate]],'High-level overview'!F$9,FALSE)),"")</f>
        <v/>
      </c>
      <c r="G30" s="27" t="str">
        <f>IFERROR(IF(VLOOKUP(Table2[[#This Row],['#]],Table3[['#]:[Completion rate]],'High-level overview'!G$9,FALSE)=0,"",VLOOKUP(Table2[[#This Row],['#]],Table3[['#]:[Completion rate]],'High-level overview'!G$9,FALSE)),"")</f>
        <v/>
      </c>
      <c r="H30" s="27" t="str">
        <f>IFERROR(IF(VLOOKUP(Table2[[#This Row],['#]],Table3[['#]:[Completion rate]],'High-level overview'!H$9,FALSE)=0,"",VLOOKUP(Table2[[#This Row],['#]],Table3[['#]:[Completion rate]],'High-level overview'!H$9,FALSE)),"")</f>
        <v/>
      </c>
      <c r="I30" s="27" t="str">
        <f>IFERROR(IF(VLOOKUP(Table2[[#This Row],['#]],Table3[['#]:[Completion rate]],'High-level overview'!I$9,FALSE)=0,"",VLOOKUP(Table2[[#This Row],['#]],Table3[['#]:[Completion rate]],'High-level overview'!I$9,FALSE)),"")</f>
        <v/>
      </c>
      <c r="J30" s="25" t="str">
        <f>IFERROR(IF(VLOOKUP(Table2[[#This Row],['#]],Table3[['#]:[Completion rate]],'High-level overview'!J$9,FALSE)=0,"",VLOOKUP(Table2[[#This Row],['#]],Table3[['#]:[Completion rate]],'High-level overview'!J$9,FALSE)),"")</f>
        <v/>
      </c>
      <c r="K30" s="25" t="str">
        <f>IFERROR(IF(VLOOKUP(Table2[[#This Row],['#]],Table3[['#]:[Completion rate]],'High-level overview'!K$9,FALSE)=0,"",VLOOKUP(Table2[[#This Row],['#]],Table3[['#]:[Completion rate]],'High-level overview'!K$9,FALSE)),"")</f>
        <v/>
      </c>
      <c r="L30" s="27" t="str">
        <f>IFERROR(IF(VLOOKUP(Table2[[#This Row],['#]],Table3[['#]:[Completion rate]],'High-level overview'!L$9,FALSE)=0,"",VLOOKUP(Table2[[#This Row],['#]],Table3[['#]:[Completion rate]],'High-level overview'!L$9,FALSE)),"")</f>
        <v/>
      </c>
      <c r="M30" s="28" t="str">
        <f>IFERROR(IF(VLOOKUP(Table2[[#This Row],['#]],Table3[['#]:[Completion rate]],'High-level overview'!M$9,FALSE)=0,"",VLOOKUP(Table2[[#This Row],['#]],Table3[['#]:[Completion rate]],'High-level overview'!M$9,FALSE)),"")</f>
        <v/>
      </c>
    </row>
    <row r="31" spans="2:13" ht="23.25" customHeight="1" x14ac:dyDescent="0.25">
      <c r="B31" s="25"/>
      <c r="C31" s="25">
        <v>20</v>
      </c>
      <c r="D31" s="26" t="str">
        <f>IFERROR(IF(VLOOKUP(Table2[[#This Row],['#]],Table3[['#]:[Completion rate]],'High-level overview'!D$9,FALSE)=0,"",VLOOKUP(Table2[[#This Row],['#]],Table3[['#]:[Completion rate]],'High-level overview'!D$9,FALSE)),"")</f>
        <v/>
      </c>
      <c r="E31" s="26" t="str">
        <f>IFERROR(IF(VLOOKUP(Table2[[#This Row],['#]],Table3[['#]:[Completion rate]],'High-level overview'!E$9,FALSE)=0,"",VLOOKUP(Table2[[#This Row],['#]],Table3[['#]:[Completion rate]],'High-level overview'!E$9,FALSE)),"")</f>
        <v/>
      </c>
      <c r="F31" s="26" t="str">
        <f>IFERROR(IF(VLOOKUP(Table2[[#This Row],['#]],Table3[['#]:[Completion rate]],'High-level overview'!F$9,FALSE)=0,"",VLOOKUP(Table2[[#This Row],['#]],Table3[['#]:[Completion rate]],'High-level overview'!F$9,FALSE)),"")</f>
        <v/>
      </c>
      <c r="G31" s="27" t="str">
        <f>IFERROR(IF(VLOOKUP(Table2[[#This Row],['#]],Table3[['#]:[Completion rate]],'High-level overview'!G$9,FALSE)=0,"",VLOOKUP(Table2[[#This Row],['#]],Table3[['#]:[Completion rate]],'High-level overview'!G$9,FALSE)),"")</f>
        <v/>
      </c>
      <c r="H31" s="27" t="str">
        <f>IFERROR(IF(VLOOKUP(Table2[[#This Row],['#]],Table3[['#]:[Completion rate]],'High-level overview'!H$9,FALSE)=0,"",VLOOKUP(Table2[[#This Row],['#]],Table3[['#]:[Completion rate]],'High-level overview'!H$9,FALSE)),"")</f>
        <v/>
      </c>
      <c r="I31" s="27" t="str">
        <f>IFERROR(IF(VLOOKUP(Table2[[#This Row],['#]],Table3[['#]:[Completion rate]],'High-level overview'!I$9,FALSE)=0,"",VLOOKUP(Table2[[#This Row],['#]],Table3[['#]:[Completion rate]],'High-level overview'!I$9,FALSE)),"")</f>
        <v/>
      </c>
      <c r="J31" s="25" t="str">
        <f>IFERROR(IF(VLOOKUP(Table2[[#This Row],['#]],Table3[['#]:[Completion rate]],'High-level overview'!J$9,FALSE)=0,"",VLOOKUP(Table2[[#This Row],['#]],Table3[['#]:[Completion rate]],'High-level overview'!J$9,FALSE)),"")</f>
        <v/>
      </c>
      <c r="K31" s="25" t="str">
        <f>IFERROR(IF(VLOOKUP(Table2[[#This Row],['#]],Table3[['#]:[Completion rate]],'High-level overview'!K$9,FALSE)=0,"",VLOOKUP(Table2[[#This Row],['#]],Table3[['#]:[Completion rate]],'High-level overview'!K$9,FALSE)),"")</f>
        <v/>
      </c>
      <c r="L31" s="27" t="str">
        <f>IFERROR(IF(VLOOKUP(Table2[[#This Row],['#]],Table3[['#]:[Completion rate]],'High-level overview'!L$9,FALSE)=0,"",VLOOKUP(Table2[[#This Row],['#]],Table3[['#]:[Completion rate]],'High-level overview'!L$9,FALSE)),"")</f>
        <v/>
      </c>
      <c r="M31" s="28" t="str">
        <f>IFERROR(IF(VLOOKUP(Table2[[#This Row],['#]],Table3[['#]:[Completion rate]],'High-level overview'!M$9,FALSE)=0,"",VLOOKUP(Table2[[#This Row],['#]],Table3[['#]:[Completion rate]],'High-level overview'!M$9,FALSE)),"")</f>
        <v/>
      </c>
    </row>
    <row r="32" spans="2:13" ht="23.25" customHeight="1" x14ac:dyDescent="0.25">
      <c r="B32" s="25"/>
      <c r="C32" s="25">
        <v>21</v>
      </c>
      <c r="D32" s="26" t="str">
        <f>IFERROR(IF(VLOOKUP(Table2[[#This Row],['#]],Table3[['#]:[Completion rate]],'High-level overview'!D$9,FALSE)=0,"",VLOOKUP(Table2[[#This Row],['#]],Table3[['#]:[Completion rate]],'High-level overview'!D$9,FALSE)),"")</f>
        <v/>
      </c>
      <c r="E32" s="26" t="str">
        <f>IFERROR(IF(VLOOKUP(Table2[[#This Row],['#]],Table3[['#]:[Completion rate]],'High-level overview'!E$9,FALSE)=0,"",VLOOKUP(Table2[[#This Row],['#]],Table3[['#]:[Completion rate]],'High-level overview'!E$9,FALSE)),"")</f>
        <v/>
      </c>
      <c r="F32" s="26" t="str">
        <f>IFERROR(IF(VLOOKUP(Table2[[#This Row],['#]],Table3[['#]:[Completion rate]],'High-level overview'!F$9,FALSE)=0,"",VLOOKUP(Table2[[#This Row],['#]],Table3[['#]:[Completion rate]],'High-level overview'!F$9,FALSE)),"")</f>
        <v/>
      </c>
      <c r="G32" s="27" t="str">
        <f>IFERROR(IF(VLOOKUP(Table2[[#This Row],['#]],Table3[['#]:[Completion rate]],'High-level overview'!G$9,FALSE)=0,"",VLOOKUP(Table2[[#This Row],['#]],Table3[['#]:[Completion rate]],'High-level overview'!G$9,FALSE)),"")</f>
        <v/>
      </c>
      <c r="H32" s="27" t="str">
        <f>IFERROR(IF(VLOOKUP(Table2[[#This Row],['#]],Table3[['#]:[Completion rate]],'High-level overview'!H$9,FALSE)=0,"",VLOOKUP(Table2[[#This Row],['#]],Table3[['#]:[Completion rate]],'High-level overview'!H$9,FALSE)),"")</f>
        <v/>
      </c>
      <c r="I32" s="27" t="str">
        <f>IFERROR(IF(VLOOKUP(Table2[[#This Row],['#]],Table3[['#]:[Completion rate]],'High-level overview'!I$9,FALSE)=0,"",VLOOKUP(Table2[[#This Row],['#]],Table3[['#]:[Completion rate]],'High-level overview'!I$9,FALSE)),"")</f>
        <v/>
      </c>
      <c r="J32" s="25" t="str">
        <f>IFERROR(IF(VLOOKUP(Table2[[#This Row],['#]],Table3[['#]:[Completion rate]],'High-level overview'!J$9,FALSE)=0,"",VLOOKUP(Table2[[#This Row],['#]],Table3[['#]:[Completion rate]],'High-level overview'!J$9,FALSE)),"")</f>
        <v/>
      </c>
      <c r="K32" s="25" t="str">
        <f>IFERROR(IF(VLOOKUP(Table2[[#This Row],['#]],Table3[['#]:[Completion rate]],'High-level overview'!K$9,FALSE)=0,"",VLOOKUP(Table2[[#This Row],['#]],Table3[['#]:[Completion rate]],'High-level overview'!K$9,FALSE)),"")</f>
        <v/>
      </c>
      <c r="L32" s="27" t="str">
        <f>IFERROR(IF(VLOOKUP(Table2[[#This Row],['#]],Table3[['#]:[Completion rate]],'High-level overview'!L$9,FALSE)=0,"",VLOOKUP(Table2[[#This Row],['#]],Table3[['#]:[Completion rate]],'High-level overview'!L$9,FALSE)),"")</f>
        <v/>
      </c>
      <c r="M32" s="28" t="str">
        <f>IFERROR(IF(VLOOKUP(Table2[[#This Row],['#]],Table3[['#]:[Completion rate]],'High-level overview'!M$9,FALSE)=0,"",VLOOKUP(Table2[[#This Row],['#]],Table3[['#]:[Completion rate]],'High-level overview'!M$9,FALSE)),"")</f>
        <v/>
      </c>
    </row>
    <row r="33" spans="2:13" ht="23.25" customHeight="1" x14ac:dyDescent="0.25">
      <c r="B33" s="25"/>
      <c r="C33" s="25">
        <v>22</v>
      </c>
      <c r="D33" s="26" t="str">
        <f>IFERROR(IF(VLOOKUP(Table2[[#This Row],['#]],Table3[['#]:[Completion rate]],'High-level overview'!D$9,FALSE)=0,"",VLOOKUP(Table2[[#This Row],['#]],Table3[['#]:[Completion rate]],'High-level overview'!D$9,FALSE)),"")</f>
        <v/>
      </c>
      <c r="E33" s="26" t="str">
        <f>IFERROR(IF(VLOOKUP(Table2[[#This Row],['#]],Table3[['#]:[Completion rate]],'High-level overview'!E$9,FALSE)=0,"",VLOOKUP(Table2[[#This Row],['#]],Table3[['#]:[Completion rate]],'High-level overview'!E$9,FALSE)),"")</f>
        <v/>
      </c>
      <c r="F33" s="26" t="str">
        <f>IFERROR(IF(VLOOKUP(Table2[[#This Row],['#]],Table3[['#]:[Completion rate]],'High-level overview'!F$9,FALSE)=0,"",VLOOKUP(Table2[[#This Row],['#]],Table3[['#]:[Completion rate]],'High-level overview'!F$9,FALSE)),"")</f>
        <v/>
      </c>
      <c r="G33" s="27" t="str">
        <f>IFERROR(IF(VLOOKUP(Table2[[#This Row],['#]],Table3[['#]:[Completion rate]],'High-level overview'!G$9,FALSE)=0,"",VLOOKUP(Table2[[#This Row],['#]],Table3[['#]:[Completion rate]],'High-level overview'!G$9,FALSE)),"")</f>
        <v/>
      </c>
      <c r="H33" s="27" t="str">
        <f>IFERROR(IF(VLOOKUP(Table2[[#This Row],['#]],Table3[['#]:[Completion rate]],'High-level overview'!H$9,FALSE)=0,"",VLOOKUP(Table2[[#This Row],['#]],Table3[['#]:[Completion rate]],'High-level overview'!H$9,FALSE)),"")</f>
        <v/>
      </c>
      <c r="I33" s="27" t="str">
        <f>IFERROR(IF(VLOOKUP(Table2[[#This Row],['#]],Table3[['#]:[Completion rate]],'High-level overview'!I$9,FALSE)=0,"",VLOOKUP(Table2[[#This Row],['#]],Table3[['#]:[Completion rate]],'High-level overview'!I$9,FALSE)),"")</f>
        <v/>
      </c>
      <c r="J33" s="25" t="str">
        <f>IFERROR(IF(VLOOKUP(Table2[[#This Row],['#]],Table3[['#]:[Completion rate]],'High-level overview'!J$9,FALSE)=0,"",VLOOKUP(Table2[[#This Row],['#]],Table3[['#]:[Completion rate]],'High-level overview'!J$9,FALSE)),"")</f>
        <v/>
      </c>
      <c r="K33" s="25" t="str">
        <f>IFERROR(IF(VLOOKUP(Table2[[#This Row],['#]],Table3[['#]:[Completion rate]],'High-level overview'!K$9,FALSE)=0,"",VLOOKUP(Table2[[#This Row],['#]],Table3[['#]:[Completion rate]],'High-level overview'!K$9,FALSE)),"")</f>
        <v/>
      </c>
      <c r="L33" s="27" t="str">
        <f>IFERROR(IF(VLOOKUP(Table2[[#This Row],['#]],Table3[['#]:[Completion rate]],'High-level overview'!L$9,FALSE)=0,"",VLOOKUP(Table2[[#This Row],['#]],Table3[['#]:[Completion rate]],'High-level overview'!L$9,FALSE)),"")</f>
        <v/>
      </c>
      <c r="M33" s="28" t="str">
        <f>IFERROR(IF(VLOOKUP(Table2[[#This Row],['#]],Table3[['#]:[Completion rate]],'High-level overview'!M$9,FALSE)=0,"",VLOOKUP(Table2[[#This Row],['#]],Table3[['#]:[Completion rate]],'High-level overview'!M$9,FALSE)),"")</f>
        <v/>
      </c>
    </row>
    <row r="34" spans="2:13" ht="23.25" customHeight="1" x14ac:dyDescent="0.25">
      <c r="B34" s="25"/>
      <c r="C34" s="25">
        <v>23</v>
      </c>
      <c r="D34" s="26" t="str">
        <f>IFERROR(IF(VLOOKUP(Table2[[#This Row],['#]],Table3[['#]:[Completion rate]],'High-level overview'!D$9,FALSE)=0,"",VLOOKUP(Table2[[#This Row],['#]],Table3[['#]:[Completion rate]],'High-level overview'!D$9,FALSE)),"")</f>
        <v/>
      </c>
      <c r="E34" s="26" t="str">
        <f>IFERROR(IF(VLOOKUP(Table2[[#This Row],['#]],Table3[['#]:[Completion rate]],'High-level overview'!E$9,FALSE)=0,"",VLOOKUP(Table2[[#This Row],['#]],Table3[['#]:[Completion rate]],'High-level overview'!E$9,FALSE)),"")</f>
        <v/>
      </c>
      <c r="F34" s="26" t="str">
        <f>IFERROR(IF(VLOOKUP(Table2[[#This Row],['#]],Table3[['#]:[Completion rate]],'High-level overview'!F$9,FALSE)=0,"",VLOOKUP(Table2[[#This Row],['#]],Table3[['#]:[Completion rate]],'High-level overview'!F$9,FALSE)),"")</f>
        <v/>
      </c>
      <c r="G34" s="27" t="str">
        <f>IFERROR(IF(VLOOKUP(Table2[[#This Row],['#]],Table3[['#]:[Completion rate]],'High-level overview'!G$9,FALSE)=0,"",VLOOKUP(Table2[[#This Row],['#]],Table3[['#]:[Completion rate]],'High-level overview'!G$9,FALSE)),"")</f>
        <v/>
      </c>
      <c r="H34" s="27" t="str">
        <f>IFERROR(IF(VLOOKUP(Table2[[#This Row],['#]],Table3[['#]:[Completion rate]],'High-level overview'!H$9,FALSE)=0,"",VLOOKUP(Table2[[#This Row],['#]],Table3[['#]:[Completion rate]],'High-level overview'!H$9,FALSE)),"")</f>
        <v/>
      </c>
      <c r="I34" s="27" t="str">
        <f>IFERROR(IF(VLOOKUP(Table2[[#This Row],['#]],Table3[['#]:[Completion rate]],'High-level overview'!I$9,FALSE)=0,"",VLOOKUP(Table2[[#This Row],['#]],Table3[['#]:[Completion rate]],'High-level overview'!I$9,FALSE)),"")</f>
        <v/>
      </c>
      <c r="J34" s="25" t="str">
        <f>IFERROR(IF(VLOOKUP(Table2[[#This Row],['#]],Table3[['#]:[Completion rate]],'High-level overview'!J$9,FALSE)=0,"",VLOOKUP(Table2[[#This Row],['#]],Table3[['#]:[Completion rate]],'High-level overview'!J$9,FALSE)),"")</f>
        <v/>
      </c>
      <c r="K34" s="25" t="str">
        <f>IFERROR(IF(VLOOKUP(Table2[[#This Row],['#]],Table3[['#]:[Completion rate]],'High-level overview'!K$9,FALSE)=0,"",VLOOKUP(Table2[[#This Row],['#]],Table3[['#]:[Completion rate]],'High-level overview'!K$9,FALSE)),"")</f>
        <v/>
      </c>
      <c r="L34" s="27" t="str">
        <f>IFERROR(IF(VLOOKUP(Table2[[#This Row],['#]],Table3[['#]:[Completion rate]],'High-level overview'!L$9,FALSE)=0,"",VLOOKUP(Table2[[#This Row],['#]],Table3[['#]:[Completion rate]],'High-level overview'!L$9,FALSE)),"")</f>
        <v/>
      </c>
      <c r="M34" s="28" t="str">
        <f>IFERROR(IF(VLOOKUP(Table2[[#This Row],['#]],Table3[['#]:[Completion rate]],'High-level overview'!M$9,FALSE)=0,"",VLOOKUP(Table2[[#This Row],['#]],Table3[['#]:[Completion rate]],'High-level overview'!M$9,FALSE)),"")</f>
        <v/>
      </c>
    </row>
    <row r="35" spans="2:13" ht="23.25" customHeight="1" x14ac:dyDescent="0.25">
      <c r="B35" s="25"/>
      <c r="C35" s="25">
        <v>24</v>
      </c>
      <c r="D35" s="26" t="str">
        <f>IFERROR(IF(VLOOKUP(Table2[[#This Row],['#]],Table3[['#]:[Completion rate]],'High-level overview'!D$9,FALSE)=0,"",VLOOKUP(Table2[[#This Row],['#]],Table3[['#]:[Completion rate]],'High-level overview'!D$9,FALSE)),"")</f>
        <v/>
      </c>
      <c r="E35" s="26" t="str">
        <f>IFERROR(IF(VLOOKUP(Table2[[#This Row],['#]],Table3[['#]:[Completion rate]],'High-level overview'!E$9,FALSE)=0,"",VLOOKUP(Table2[[#This Row],['#]],Table3[['#]:[Completion rate]],'High-level overview'!E$9,FALSE)),"")</f>
        <v/>
      </c>
      <c r="F35" s="26" t="str">
        <f>IFERROR(IF(VLOOKUP(Table2[[#This Row],['#]],Table3[['#]:[Completion rate]],'High-level overview'!F$9,FALSE)=0,"",VLOOKUP(Table2[[#This Row],['#]],Table3[['#]:[Completion rate]],'High-level overview'!F$9,FALSE)),"")</f>
        <v/>
      </c>
      <c r="G35" s="27" t="str">
        <f>IFERROR(IF(VLOOKUP(Table2[[#This Row],['#]],Table3[['#]:[Completion rate]],'High-level overview'!G$9,FALSE)=0,"",VLOOKUP(Table2[[#This Row],['#]],Table3[['#]:[Completion rate]],'High-level overview'!G$9,FALSE)),"")</f>
        <v/>
      </c>
      <c r="H35" s="27" t="str">
        <f>IFERROR(IF(VLOOKUP(Table2[[#This Row],['#]],Table3[['#]:[Completion rate]],'High-level overview'!H$9,FALSE)=0,"",VLOOKUP(Table2[[#This Row],['#]],Table3[['#]:[Completion rate]],'High-level overview'!H$9,FALSE)),"")</f>
        <v/>
      </c>
      <c r="I35" s="27" t="str">
        <f>IFERROR(IF(VLOOKUP(Table2[[#This Row],['#]],Table3[['#]:[Completion rate]],'High-level overview'!I$9,FALSE)=0,"",VLOOKUP(Table2[[#This Row],['#]],Table3[['#]:[Completion rate]],'High-level overview'!I$9,FALSE)),"")</f>
        <v/>
      </c>
      <c r="J35" s="25" t="str">
        <f>IFERROR(IF(VLOOKUP(Table2[[#This Row],['#]],Table3[['#]:[Completion rate]],'High-level overview'!J$9,FALSE)=0,"",VLOOKUP(Table2[[#This Row],['#]],Table3[['#]:[Completion rate]],'High-level overview'!J$9,FALSE)),"")</f>
        <v/>
      </c>
      <c r="K35" s="25" t="str">
        <f>IFERROR(IF(VLOOKUP(Table2[[#This Row],['#]],Table3[['#]:[Completion rate]],'High-level overview'!K$9,FALSE)=0,"",VLOOKUP(Table2[[#This Row],['#]],Table3[['#]:[Completion rate]],'High-level overview'!K$9,FALSE)),"")</f>
        <v/>
      </c>
      <c r="L35" s="27" t="str">
        <f>IFERROR(IF(VLOOKUP(Table2[[#This Row],['#]],Table3[['#]:[Completion rate]],'High-level overview'!L$9,FALSE)=0,"",VLOOKUP(Table2[[#This Row],['#]],Table3[['#]:[Completion rate]],'High-level overview'!L$9,FALSE)),"")</f>
        <v/>
      </c>
      <c r="M35" s="28" t="str">
        <f>IFERROR(IF(VLOOKUP(Table2[[#This Row],['#]],Table3[['#]:[Completion rate]],'High-level overview'!M$9,FALSE)=0,"",VLOOKUP(Table2[[#This Row],['#]],Table3[['#]:[Completion rate]],'High-level overview'!M$9,FALSE)),"")</f>
        <v/>
      </c>
    </row>
    <row r="36" spans="2:13" ht="23.25" customHeight="1" x14ac:dyDescent="0.25">
      <c r="B36" s="25"/>
      <c r="C36" s="25">
        <v>25</v>
      </c>
      <c r="D36" s="26" t="str">
        <f>IFERROR(IF(VLOOKUP(Table2[[#This Row],['#]],Table3[['#]:[Completion rate]],'High-level overview'!D$9,FALSE)=0,"",VLOOKUP(Table2[[#This Row],['#]],Table3[['#]:[Completion rate]],'High-level overview'!D$9,FALSE)),"")</f>
        <v/>
      </c>
      <c r="E36" s="26" t="str">
        <f>IFERROR(IF(VLOOKUP(Table2[[#This Row],['#]],Table3[['#]:[Completion rate]],'High-level overview'!E$9,FALSE)=0,"",VLOOKUP(Table2[[#This Row],['#]],Table3[['#]:[Completion rate]],'High-level overview'!E$9,FALSE)),"")</f>
        <v/>
      </c>
      <c r="F36" s="26" t="str">
        <f>IFERROR(IF(VLOOKUP(Table2[[#This Row],['#]],Table3[['#]:[Completion rate]],'High-level overview'!F$9,FALSE)=0,"",VLOOKUP(Table2[[#This Row],['#]],Table3[['#]:[Completion rate]],'High-level overview'!F$9,FALSE)),"")</f>
        <v/>
      </c>
      <c r="G36" s="27" t="str">
        <f>IFERROR(IF(VLOOKUP(Table2[[#This Row],['#]],Table3[['#]:[Completion rate]],'High-level overview'!G$9,FALSE)=0,"",VLOOKUP(Table2[[#This Row],['#]],Table3[['#]:[Completion rate]],'High-level overview'!G$9,FALSE)),"")</f>
        <v/>
      </c>
      <c r="H36" s="27" t="str">
        <f>IFERROR(IF(VLOOKUP(Table2[[#This Row],['#]],Table3[['#]:[Completion rate]],'High-level overview'!H$9,FALSE)=0,"",VLOOKUP(Table2[[#This Row],['#]],Table3[['#]:[Completion rate]],'High-level overview'!H$9,FALSE)),"")</f>
        <v/>
      </c>
      <c r="I36" s="27" t="str">
        <f>IFERROR(IF(VLOOKUP(Table2[[#This Row],['#]],Table3[['#]:[Completion rate]],'High-level overview'!I$9,FALSE)=0,"",VLOOKUP(Table2[[#This Row],['#]],Table3[['#]:[Completion rate]],'High-level overview'!I$9,FALSE)),"")</f>
        <v/>
      </c>
      <c r="J36" s="25" t="str">
        <f>IFERROR(IF(VLOOKUP(Table2[[#This Row],['#]],Table3[['#]:[Completion rate]],'High-level overview'!J$9,FALSE)=0,"",VLOOKUP(Table2[[#This Row],['#]],Table3[['#]:[Completion rate]],'High-level overview'!J$9,FALSE)),"")</f>
        <v/>
      </c>
      <c r="K36" s="25" t="str">
        <f>IFERROR(IF(VLOOKUP(Table2[[#This Row],['#]],Table3[['#]:[Completion rate]],'High-level overview'!K$9,FALSE)=0,"",VLOOKUP(Table2[[#This Row],['#]],Table3[['#]:[Completion rate]],'High-level overview'!K$9,FALSE)),"")</f>
        <v/>
      </c>
      <c r="L36" s="27" t="str">
        <f>IFERROR(IF(VLOOKUP(Table2[[#This Row],['#]],Table3[['#]:[Completion rate]],'High-level overview'!L$9,FALSE)=0,"",VLOOKUP(Table2[[#This Row],['#]],Table3[['#]:[Completion rate]],'High-level overview'!L$9,FALSE)),"")</f>
        <v/>
      </c>
      <c r="M36" s="28" t="str">
        <f>IFERROR(IF(VLOOKUP(Table2[[#This Row],['#]],Table3[['#]:[Completion rate]],'High-level overview'!M$9,FALSE)=0,"",VLOOKUP(Table2[[#This Row],['#]],Table3[['#]:[Completion rate]],'High-level overview'!M$9,FALSE)),"")</f>
        <v/>
      </c>
    </row>
    <row r="37" spans="2:13" ht="23.25" customHeight="1" x14ac:dyDescent="0.25">
      <c r="B37" s="25"/>
      <c r="C37" s="25">
        <v>26</v>
      </c>
      <c r="D37" s="26" t="str">
        <f>IFERROR(IF(VLOOKUP(Table2[[#This Row],['#]],Table3[['#]:[Completion rate]],'High-level overview'!D$9,FALSE)=0,"",VLOOKUP(Table2[[#This Row],['#]],Table3[['#]:[Completion rate]],'High-level overview'!D$9,FALSE)),"")</f>
        <v/>
      </c>
      <c r="E37" s="26" t="str">
        <f>IFERROR(IF(VLOOKUP(Table2[[#This Row],['#]],Table3[['#]:[Completion rate]],'High-level overview'!E$9,FALSE)=0,"",VLOOKUP(Table2[[#This Row],['#]],Table3[['#]:[Completion rate]],'High-level overview'!E$9,FALSE)),"")</f>
        <v/>
      </c>
      <c r="F37" s="26" t="str">
        <f>IFERROR(IF(VLOOKUP(Table2[[#This Row],['#]],Table3[['#]:[Completion rate]],'High-level overview'!F$9,FALSE)=0,"",VLOOKUP(Table2[[#This Row],['#]],Table3[['#]:[Completion rate]],'High-level overview'!F$9,FALSE)),"")</f>
        <v/>
      </c>
      <c r="G37" s="27" t="str">
        <f>IFERROR(IF(VLOOKUP(Table2[[#This Row],['#]],Table3[['#]:[Completion rate]],'High-level overview'!G$9,FALSE)=0,"",VLOOKUP(Table2[[#This Row],['#]],Table3[['#]:[Completion rate]],'High-level overview'!G$9,FALSE)),"")</f>
        <v/>
      </c>
      <c r="H37" s="27" t="str">
        <f>IFERROR(IF(VLOOKUP(Table2[[#This Row],['#]],Table3[['#]:[Completion rate]],'High-level overview'!H$9,FALSE)=0,"",VLOOKUP(Table2[[#This Row],['#]],Table3[['#]:[Completion rate]],'High-level overview'!H$9,FALSE)),"")</f>
        <v/>
      </c>
      <c r="I37" s="27" t="str">
        <f>IFERROR(IF(VLOOKUP(Table2[[#This Row],['#]],Table3[['#]:[Completion rate]],'High-level overview'!I$9,FALSE)=0,"",VLOOKUP(Table2[[#This Row],['#]],Table3[['#]:[Completion rate]],'High-level overview'!I$9,FALSE)),"")</f>
        <v/>
      </c>
      <c r="J37" s="25" t="str">
        <f>IFERROR(IF(VLOOKUP(Table2[[#This Row],['#]],Table3[['#]:[Completion rate]],'High-level overview'!J$9,FALSE)=0,"",VLOOKUP(Table2[[#This Row],['#]],Table3[['#]:[Completion rate]],'High-level overview'!J$9,FALSE)),"")</f>
        <v/>
      </c>
      <c r="K37" s="25" t="str">
        <f>IFERROR(IF(VLOOKUP(Table2[[#This Row],['#]],Table3[['#]:[Completion rate]],'High-level overview'!K$9,FALSE)=0,"",VLOOKUP(Table2[[#This Row],['#]],Table3[['#]:[Completion rate]],'High-level overview'!K$9,FALSE)),"")</f>
        <v/>
      </c>
      <c r="L37" s="27" t="str">
        <f>IFERROR(IF(VLOOKUP(Table2[[#This Row],['#]],Table3[['#]:[Completion rate]],'High-level overview'!L$9,FALSE)=0,"",VLOOKUP(Table2[[#This Row],['#]],Table3[['#]:[Completion rate]],'High-level overview'!L$9,FALSE)),"")</f>
        <v/>
      </c>
      <c r="M37" s="28" t="str">
        <f>IFERROR(IF(VLOOKUP(Table2[[#This Row],['#]],Table3[['#]:[Completion rate]],'High-level overview'!M$9,FALSE)=0,"",VLOOKUP(Table2[[#This Row],['#]],Table3[['#]:[Completion rate]],'High-level overview'!M$9,FALSE)),"")</f>
        <v/>
      </c>
    </row>
    <row r="38" spans="2:13" ht="23.25" customHeight="1" x14ac:dyDescent="0.25">
      <c r="B38" s="25"/>
      <c r="C38" s="25">
        <v>27</v>
      </c>
      <c r="D38" s="26" t="str">
        <f>IFERROR(IF(VLOOKUP(Table2[[#This Row],['#]],Table3[['#]:[Completion rate]],'High-level overview'!D$9,FALSE)=0,"",VLOOKUP(Table2[[#This Row],['#]],Table3[['#]:[Completion rate]],'High-level overview'!D$9,FALSE)),"")</f>
        <v/>
      </c>
      <c r="E38" s="26" t="str">
        <f>IFERROR(IF(VLOOKUP(Table2[[#This Row],['#]],Table3[['#]:[Completion rate]],'High-level overview'!E$9,FALSE)=0,"",VLOOKUP(Table2[[#This Row],['#]],Table3[['#]:[Completion rate]],'High-level overview'!E$9,FALSE)),"")</f>
        <v/>
      </c>
      <c r="F38" s="26" t="str">
        <f>IFERROR(IF(VLOOKUP(Table2[[#This Row],['#]],Table3[['#]:[Completion rate]],'High-level overview'!F$9,FALSE)=0,"",VLOOKUP(Table2[[#This Row],['#]],Table3[['#]:[Completion rate]],'High-level overview'!F$9,FALSE)),"")</f>
        <v/>
      </c>
      <c r="G38" s="27" t="str">
        <f>IFERROR(IF(VLOOKUP(Table2[[#This Row],['#]],Table3[['#]:[Completion rate]],'High-level overview'!G$9,FALSE)=0,"",VLOOKUP(Table2[[#This Row],['#]],Table3[['#]:[Completion rate]],'High-level overview'!G$9,FALSE)),"")</f>
        <v/>
      </c>
      <c r="H38" s="27" t="str">
        <f>IFERROR(IF(VLOOKUP(Table2[[#This Row],['#]],Table3[['#]:[Completion rate]],'High-level overview'!H$9,FALSE)=0,"",VLOOKUP(Table2[[#This Row],['#]],Table3[['#]:[Completion rate]],'High-level overview'!H$9,FALSE)),"")</f>
        <v/>
      </c>
      <c r="I38" s="27" t="str">
        <f>IFERROR(IF(VLOOKUP(Table2[[#This Row],['#]],Table3[['#]:[Completion rate]],'High-level overview'!I$9,FALSE)=0,"",VLOOKUP(Table2[[#This Row],['#]],Table3[['#]:[Completion rate]],'High-level overview'!I$9,FALSE)),"")</f>
        <v/>
      </c>
      <c r="J38" s="25" t="str">
        <f>IFERROR(IF(VLOOKUP(Table2[[#This Row],['#]],Table3[['#]:[Completion rate]],'High-level overview'!J$9,FALSE)=0,"",VLOOKUP(Table2[[#This Row],['#]],Table3[['#]:[Completion rate]],'High-level overview'!J$9,FALSE)),"")</f>
        <v/>
      </c>
      <c r="K38" s="25" t="str">
        <f>IFERROR(IF(VLOOKUP(Table2[[#This Row],['#]],Table3[['#]:[Completion rate]],'High-level overview'!K$9,FALSE)=0,"",VLOOKUP(Table2[[#This Row],['#]],Table3[['#]:[Completion rate]],'High-level overview'!K$9,FALSE)),"")</f>
        <v/>
      </c>
      <c r="L38" s="27" t="str">
        <f>IFERROR(IF(VLOOKUP(Table2[[#This Row],['#]],Table3[['#]:[Completion rate]],'High-level overview'!L$9,FALSE)=0,"",VLOOKUP(Table2[[#This Row],['#]],Table3[['#]:[Completion rate]],'High-level overview'!L$9,FALSE)),"")</f>
        <v/>
      </c>
      <c r="M38" s="28" t="str">
        <f>IFERROR(IF(VLOOKUP(Table2[[#This Row],['#]],Table3[['#]:[Completion rate]],'High-level overview'!M$9,FALSE)=0,"",VLOOKUP(Table2[[#This Row],['#]],Table3[['#]:[Completion rate]],'High-level overview'!M$9,FALSE)),"")</f>
        <v/>
      </c>
    </row>
    <row r="39" spans="2:13" ht="23.25" customHeight="1" x14ac:dyDescent="0.25">
      <c r="B39" s="25"/>
      <c r="C39" s="25">
        <v>28</v>
      </c>
      <c r="D39" s="26" t="str">
        <f>IFERROR(IF(VLOOKUP(Table2[[#This Row],['#]],Table3[['#]:[Completion rate]],'High-level overview'!D$9,FALSE)=0,"",VLOOKUP(Table2[[#This Row],['#]],Table3[['#]:[Completion rate]],'High-level overview'!D$9,FALSE)),"")</f>
        <v/>
      </c>
      <c r="E39" s="26" t="str">
        <f>IFERROR(IF(VLOOKUP(Table2[[#This Row],['#]],Table3[['#]:[Completion rate]],'High-level overview'!E$9,FALSE)=0,"",VLOOKUP(Table2[[#This Row],['#]],Table3[['#]:[Completion rate]],'High-level overview'!E$9,FALSE)),"")</f>
        <v/>
      </c>
      <c r="F39" s="26" t="str">
        <f>IFERROR(IF(VLOOKUP(Table2[[#This Row],['#]],Table3[['#]:[Completion rate]],'High-level overview'!F$9,FALSE)=0,"",VLOOKUP(Table2[[#This Row],['#]],Table3[['#]:[Completion rate]],'High-level overview'!F$9,FALSE)),"")</f>
        <v/>
      </c>
      <c r="G39" s="27" t="str">
        <f>IFERROR(IF(VLOOKUP(Table2[[#This Row],['#]],Table3[['#]:[Completion rate]],'High-level overview'!G$9,FALSE)=0,"",VLOOKUP(Table2[[#This Row],['#]],Table3[['#]:[Completion rate]],'High-level overview'!G$9,FALSE)),"")</f>
        <v/>
      </c>
      <c r="H39" s="27" t="str">
        <f>IFERROR(IF(VLOOKUP(Table2[[#This Row],['#]],Table3[['#]:[Completion rate]],'High-level overview'!H$9,FALSE)=0,"",VLOOKUP(Table2[[#This Row],['#]],Table3[['#]:[Completion rate]],'High-level overview'!H$9,FALSE)),"")</f>
        <v/>
      </c>
      <c r="I39" s="27" t="str">
        <f>IFERROR(IF(VLOOKUP(Table2[[#This Row],['#]],Table3[['#]:[Completion rate]],'High-level overview'!I$9,FALSE)=0,"",VLOOKUP(Table2[[#This Row],['#]],Table3[['#]:[Completion rate]],'High-level overview'!I$9,FALSE)),"")</f>
        <v/>
      </c>
      <c r="J39" s="25" t="str">
        <f>IFERROR(IF(VLOOKUP(Table2[[#This Row],['#]],Table3[['#]:[Completion rate]],'High-level overview'!J$9,FALSE)=0,"",VLOOKUP(Table2[[#This Row],['#]],Table3[['#]:[Completion rate]],'High-level overview'!J$9,FALSE)),"")</f>
        <v/>
      </c>
      <c r="K39" s="25" t="str">
        <f>IFERROR(IF(VLOOKUP(Table2[[#This Row],['#]],Table3[['#]:[Completion rate]],'High-level overview'!K$9,FALSE)=0,"",VLOOKUP(Table2[[#This Row],['#]],Table3[['#]:[Completion rate]],'High-level overview'!K$9,FALSE)),"")</f>
        <v/>
      </c>
      <c r="L39" s="27" t="str">
        <f>IFERROR(IF(VLOOKUP(Table2[[#This Row],['#]],Table3[['#]:[Completion rate]],'High-level overview'!L$9,FALSE)=0,"",VLOOKUP(Table2[[#This Row],['#]],Table3[['#]:[Completion rate]],'High-level overview'!L$9,FALSE)),"")</f>
        <v/>
      </c>
      <c r="M39" s="28" t="str">
        <f>IFERROR(IF(VLOOKUP(Table2[[#This Row],['#]],Table3[['#]:[Completion rate]],'High-level overview'!M$9,FALSE)=0,"",VLOOKUP(Table2[[#This Row],['#]],Table3[['#]:[Completion rate]],'High-level overview'!M$9,FALSE)),"")</f>
        <v/>
      </c>
    </row>
    <row r="40" spans="2:13" ht="23.25" customHeight="1" x14ac:dyDescent="0.25">
      <c r="B40" s="25"/>
      <c r="C40" s="25">
        <v>29</v>
      </c>
      <c r="D40" s="26" t="str">
        <f>IFERROR(IF(VLOOKUP(Table2[[#This Row],['#]],Table3[['#]:[Completion rate]],'High-level overview'!D$9,FALSE)=0,"",VLOOKUP(Table2[[#This Row],['#]],Table3[['#]:[Completion rate]],'High-level overview'!D$9,FALSE)),"")</f>
        <v/>
      </c>
      <c r="E40" s="26" t="str">
        <f>IFERROR(IF(VLOOKUP(Table2[[#This Row],['#]],Table3[['#]:[Completion rate]],'High-level overview'!E$9,FALSE)=0,"",VLOOKUP(Table2[[#This Row],['#]],Table3[['#]:[Completion rate]],'High-level overview'!E$9,FALSE)),"")</f>
        <v/>
      </c>
      <c r="F40" s="26" t="str">
        <f>IFERROR(IF(VLOOKUP(Table2[[#This Row],['#]],Table3[['#]:[Completion rate]],'High-level overview'!F$9,FALSE)=0,"",VLOOKUP(Table2[[#This Row],['#]],Table3[['#]:[Completion rate]],'High-level overview'!F$9,FALSE)),"")</f>
        <v/>
      </c>
      <c r="G40" s="27" t="str">
        <f>IFERROR(IF(VLOOKUP(Table2[[#This Row],['#]],Table3[['#]:[Completion rate]],'High-level overview'!G$9,FALSE)=0,"",VLOOKUP(Table2[[#This Row],['#]],Table3[['#]:[Completion rate]],'High-level overview'!G$9,FALSE)),"")</f>
        <v/>
      </c>
      <c r="H40" s="27" t="str">
        <f>IFERROR(IF(VLOOKUP(Table2[[#This Row],['#]],Table3[['#]:[Completion rate]],'High-level overview'!H$9,FALSE)=0,"",VLOOKUP(Table2[[#This Row],['#]],Table3[['#]:[Completion rate]],'High-level overview'!H$9,FALSE)),"")</f>
        <v/>
      </c>
      <c r="I40" s="27" t="str">
        <f>IFERROR(IF(VLOOKUP(Table2[[#This Row],['#]],Table3[['#]:[Completion rate]],'High-level overview'!I$9,FALSE)=0,"",VLOOKUP(Table2[[#This Row],['#]],Table3[['#]:[Completion rate]],'High-level overview'!I$9,FALSE)),"")</f>
        <v/>
      </c>
      <c r="J40" s="25" t="str">
        <f>IFERROR(IF(VLOOKUP(Table2[[#This Row],['#]],Table3[['#]:[Completion rate]],'High-level overview'!J$9,FALSE)=0,"",VLOOKUP(Table2[[#This Row],['#]],Table3[['#]:[Completion rate]],'High-level overview'!J$9,FALSE)),"")</f>
        <v/>
      </c>
      <c r="K40" s="25" t="str">
        <f>IFERROR(IF(VLOOKUP(Table2[[#This Row],['#]],Table3[['#]:[Completion rate]],'High-level overview'!K$9,FALSE)=0,"",VLOOKUP(Table2[[#This Row],['#]],Table3[['#]:[Completion rate]],'High-level overview'!K$9,FALSE)),"")</f>
        <v/>
      </c>
      <c r="L40" s="27" t="str">
        <f>IFERROR(IF(VLOOKUP(Table2[[#This Row],['#]],Table3[['#]:[Completion rate]],'High-level overview'!L$9,FALSE)=0,"",VLOOKUP(Table2[[#This Row],['#]],Table3[['#]:[Completion rate]],'High-level overview'!L$9,FALSE)),"")</f>
        <v/>
      </c>
      <c r="M40" s="28" t="str">
        <f>IFERROR(IF(VLOOKUP(Table2[[#This Row],['#]],Table3[['#]:[Completion rate]],'High-level overview'!M$9,FALSE)=0,"",VLOOKUP(Table2[[#This Row],['#]],Table3[['#]:[Completion rate]],'High-level overview'!M$9,FALSE)),"")</f>
        <v/>
      </c>
    </row>
    <row r="41" spans="2:13" ht="23.25" customHeight="1" x14ac:dyDescent="0.25">
      <c r="B41" s="25"/>
      <c r="C41" s="25">
        <v>30</v>
      </c>
      <c r="D41" s="26" t="str">
        <f>IFERROR(IF(VLOOKUP(Table2[[#This Row],['#]],Table3[['#]:[Completion rate]],'High-level overview'!D$9,FALSE)=0,"",VLOOKUP(Table2[[#This Row],['#]],Table3[['#]:[Completion rate]],'High-level overview'!D$9,FALSE)),"")</f>
        <v/>
      </c>
      <c r="E41" s="26" t="str">
        <f>IFERROR(IF(VLOOKUP(Table2[[#This Row],['#]],Table3[['#]:[Completion rate]],'High-level overview'!E$9,FALSE)=0,"",VLOOKUP(Table2[[#This Row],['#]],Table3[['#]:[Completion rate]],'High-level overview'!E$9,FALSE)),"")</f>
        <v/>
      </c>
      <c r="F41" s="26" t="str">
        <f>IFERROR(IF(VLOOKUP(Table2[[#This Row],['#]],Table3[['#]:[Completion rate]],'High-level overview'!F$9,FALSE)=0,"",VLOOKUP(Table2[[#This Row],['#]],Table3[['#]:[Completion rate]],'High-level overview'!F$9,FALSE)),"")</f>
        <v/>
      </c>
      <c r="G41" s="27" t="str">
        <f>IFERROR(IF(VLOOKUP(Table2[[#This Row],['#]],Table3[['#]:[Completion rate]],'High-level overview'!G$9,FALSE)=0,"",VLOOKUP(Table2[[#This Row],['#]],Table3[['#]:[Completion rate]],'High-level overview'!G$9,FALSE)),"")</f>
        <v/>
      </c>
      <c r="H41" s="27" t="str">
        <f>IFERROR(IF(VLOOKUP(Table2[[#This Row],['#]],Table3[['#]:[Completion rate]],'High-level overview'!H$9,FALSE)=0,"",VLOOKUP(Table2[[#This Row],['#]],Table3[['#]:[Completion rate]],'High-level overview'!H$9,FALSE)),"")</f>
        <v/>
      </c>
      <c r="I41" s="27" t="str">
        <f>IFERROR(IF(VLOOKUP(Table2[[#This Row],['#]],Table3[['#]:[Completion rate]],'High-level overview'!I$9,FALSE)=0,"",VLOOKUP(Table2[[#This Row],['#]],Table3[['#]:[Completion rate]],'High-level overview'!I$9,FALSE)),"")</f>
        <v/>
      </c>
      <c r="J41" s="25" t="str">
        <f>IFERROR(IF(VLOOKUP(Table2[[#This Row],['#]],Table3[['#]:[Completion rate]],'High-level overview'!J$9,FALSE)=0,"",VLOOKUP(Table2[[#This Row],['#]],Table3[['#]:[Completion rate]],'High-level overview'!J$9,FALSE)),"")</f>
        <v/>
      </c>
      <c r="K41" s="25" t="str">
        <f>IFERROR(IF(VLOOKUP(Table2[[#This Row],['#]],Table3[['#]:[Completion rate]],'High-level overview'!K$9,FALSE)=0,"",VLOOKUP(Table2[[#This Row],['#]],Table3[['#]:[Completion rate]],'High-level overview'!K$9,FALSE)),"")</f>
        <v/>
      </c>
      <c r="L41" s="27" t="str">
        <f>IFERROR(IF(VLOOKUP(Table2[[#This Row],['#]],Table3[['#]:[Completion rate]],'High-level overview'!L$9,FALSE)=0,"",VLOOKUP(Table2[[#This Row],['#]],Table3[['#]:[Completion rate]],'High-level overview'!L$9,FALSE)),"")</f>
        <v/>
      </c>
      <c r="M41" s="28" t="str">
        <f>IFERROR(IF(VLOOKUP(Table2[[#This Row],['#]],Table3[['#]:[Completion rate]],'High-level overview'!M$9,FALSE)=0,"",VLOOKUP(Table2[[#This Row],['#]],Table3[['#]:[Completion rate]],'High-level overview'!M$9,FALSE)),"")</f>
        <v/>
      </c>
    </row>
    <row r="42" spans="2:13" ht="23.25" customHeight="1" x14ac:dyDescent="0.25">
      <c r="B42" s="25"/>
      <c r="C42" s="25">
        <v>31</v>
      </c>
      <c r="D42" s="26" t="str">
        <f>IFERROR(IF(VLOOKUP(Table2[[#This Row],['#]],Table3[['#]:[Completion rate]],'High-level overview'!D$9,FALSE)=0,"",VLOOKUP(Table2[[#This Row],['#]],Table3[['#]:[Completion rate]],'High-level overview'!D$9,FALSE)),"")</f>
        <v/>
      </c>
      <c r="E42" s="26" t="str">
        <f>IFERROR(IF(VLOOKUP(Table2[[#This Row],['#]],Table3[['#]:[Completion rate]],'High-level overview'!E$9,FALSE)=0,"",VLOOKUP(Table2[[#This Row],['#]],Table3[['#]:[Completion rate]],'High-level overview'!E$9,FALSE)),"")</f>
        <v/>
      </c>
      <c r="F42" s="26" t="str">
        <f>IFERROR(IF(VLOOKUP(Table2[[#This Row],['#]],Table3[['#]:[Completion rate]],'High-level overview'!F$9,FALSE)=0,"",VLOOKUP(Table2[[#This Row],['#]],Table3[['#]:[Completion rate]],'High-level overview'!F$9,FALSE)),"")</f>
        <v/>
      </c>
      <c r="G42" s="27" t="str">
        <f>IFERROR(IF(VLOOKUP(Table2[[#This Row],['#]],Table3[['#]:[Completion rate]],'High-level overview'!G$9,FALSE)=0,"",VLOOKUP(Table2[[#This Row],['#]],Table3[['#]:[Completion rate]],'High-level overview'!G$9,FALSE)),"")</f>
        <v/>
      </c>
      <c r="H42" s="27" t="str">
        <f>IFERROR(IF(VLOOKUP(Table2[[#This Row],['#]],Table3[['#]:[Completion rate]],'High-level overview'!H$9,FALSE)=0,"",VLOOKUP(Table2[[#This Row],['#]],Table3[['#]:[Completion rate]],'High-level overview'!H$9,FALSE)),"")</f>
        <v/>
      </c>
      <c r="I42" s="27" t="str">
        <f>IFERROR(IF(VLOOKUP(Table2[[#This Row],['#]],Table3[['#]:[Completion rate]],'High-level overview'!I$9,FALSE)=0,"",VLOOKUP(Table2[[#This Row],['#]],Table3[['#]:[Completion rate]],'High-level overview'!I$9,FALSE)),"")</f>
        <v/>
      </c>
      <c r="J42" s="25" t="str">
        <f>IFERROR(IF(VLOOKUP(Table2[[#This Row],['#]],Table3[['#]:[Completion rate]],'High-level overview'!J$9,FALSE)=0,"",VLOOKUP(Table2[[#This Row],['#]],Table3[['#]:[Completion rate]],'High-level overview'!J$9,FALSE)),"")</f>
        <v/>
      </c>
      <c r="K42" s="25" t="str">
        <f>IFERROR(IF(VLOOKUP(Table2[[#This Row],['#]],Table3[['#]:[Completion rate]],'High-level overview'!K$9,FALSE)=0,"",VLOOKUP(Table2[[#This Row],['#]],Table3[['#]:[Completion rate]],'High-level overview'!K$9,FALSE)),"")</f>
        <v/>
      </c>
      <c r="L42" s="27" t="str">
        <f>IFERROR(IF(VLOOKUP(Table2[[#This Row],['#]],Table3[['#]:[Completion rate]],'High-level overview'!L$9,FALSE)=0,"",VLOOKUP(Table2[[#This Row],['#]],Table3[['#]:[Completion rate]],'High-level overview'!L$9,FALSE)),"")</f>
        <v/>
      </c>
      <c r="M42" s="28" t="str">
        <f>IFERROR(IF(VLOOKUP(Table2[[#This Row],['#]],Table3[['#]:[Completion rate]],'High-level overview'!M$9,FALSE)=0,"",VLOOKUP(Table2[[#This Row],['#]],Table3[['#]:[Completion rate]],'High-level overview'!M$9,FALSE)),"")</f>
        <v/>
      </c>
    </row>
    <row r="43" spans="2:13" ht="23.25" customHeight="1" x14ac:dyDescent="0.25">
      <c r="B43" s="25"/>
      <c r="C43" s="25">
        <v>32</v>
      </c>
      <c r="D43" s="26" t="str">
        <f>IFERROR(IF(VLOOKUP(Table2[[#This Row],['#]],Table3[['#]:[Completion rate]],'High-level overview'!D$9,FALSE)=0,"",VLOOKUP(Table2[[#This Row],['#]],Table3[['#]:[Completion rate]],'High-level overview'!D$9,FALSE)),"")</f>
        <v/>
      </c>
      <c r="E43" s="26" t="str">
        <f>IFERROR(IF(VLOOKUP(Table2[[#This Row],['#]],Table3[['#]:[Completion rate]],'High-level overview'!E$9,FALSE)=0,"",VLOOKUP(Table2[[#This Row],['#]],Table3[['#]:[Completion rate]],'High-level overview'!E$9,FALSE)),"")</f>
        <v/>
      </c>
      <c r="F43" s="26" t="str">
        <f>IFERROR(IF(VLOOKUP(Table2[[#This Row],['#]],Table3[['#]:[Completion rate]],'High-level overview'!F$9,FALSE)=0,"",VLOOKUP(Table2[[#This Row],['#]],Table3[['#]:[Completion rate]],'High-level overview'!F$9,FALSE)),"")</f>
        <v/>
      </c>
      <c r="G43" s="27" t="str">
        <f>IFERROR(IF(VLOOKUP(Table2[[#This Row],['#]],Table3[['#]:[Completion rate]],'High-level overview'!G$9,FALSE)=0,"",VLOOKUP(Table2[[#This Row],['#]],Table3[['#]:[Completion rate]],'High-level overview'!G$9,FALSE)),"")</f>
        <v/>
      </c>
      <c r="H43" s="27" t="str">
        <f>IFERROR(IF(VLOOKUP(Table2[[#This Row],['#]],Table3[['#]:[Completion rate]],'High-level overview'!H$9,FALSE)=0,"",VLOOKUP(Table2[[#This Row],['#]],Table3[['#]:[Completion rate]],'High-level overview'!H$9,FALSE)),"")</f>
        <v/>
      </c>
      <c r="I43" s="27" t="str">
        <f>IFERROR(IF(VLOOKUP(Table2[[#This Row],['#]],Table3[['#]:[Completion rate]],'High-level overview'!I$9,FALSE)=0,"",VLOOKUP(Table2[[#This Row],['#]],Table3[['#]:[Completion rate]],'High-level overview'!I$9,FALSE)),"")</f>
        <v/>
      </c>
      <c r="J43" s="25" t="str">
        <f>IFERROR(IF(VLOOKUP(Table2[[#This Row],['#]],Table3[['#]:[Completion rate]],'High-level overview'!J$9,FALSE)=0,"",VLOOKUP(Table2[[#This Row],['#]],Table3[['#]:[Completion rate]],'High-level overview'!J$9,FALSE)),"")</f>
        <v/>
      </c>
      <c r="K43" s="25" t="str">
        <f>IFERROR(IF(VLOOKUP(Table2[[#This Row],['#]],Table3[['#]:[Completion rate]],'High-level overview'!K$9,FALSE)=0,"",VLOOKUP(Table2[[#This Row],['#]],Table3[['#]:[Completion rate]],'High-level overview'!K$9,FALSE)),"")</f>
        <v/>
      </c>
      <c r="L43" s="27" t="str">
        <f>IFERROR(IF(VLOOKUP(Table2[[#This Row],['#]],Table3[['#]:[Completion rate]],'High-level overview'!L$9,FALSE)=0,"",VLOOKUP(Table2[[#This Row],['#]],Table3[['#]:[Completion rate]],'High-level overview'!L$9,FALSE)),"")</f>
        <v/>
      </c>
      <c r="M43" s="28" t="str">
        <f>IFERROR(IF(VLOOKUP(Table2[[#This Row],['#]],Table3[['#]:[Completion rate]],'High-level overview'!M$9,FALSE)=0,"",VLOOKUP(Table2[[#This Row],['#]],Table3[['#]:[Completion rate]],'High-level overview'!M$9,FALSE)),"")</f>
        <v/>
      </c>
    </row>
    <row r="44" spans="2:13" ht="23.25" customHeight="1" x14ac:dyDescent="0.25">
      <c r="B44" s="25"/>
      <c r="C44" s="25">
        <v>33</v>
      </c>
      <c r="D44" s="26" t="str">
        <f>IFERROR(IF(VLOOKUP(Table2[[#This Row],['#]],Table3[['#]:[Completion rate]],'High-level overview'!D$9,FALSE)=0,"",VLOOKUP(Table2[[#This Row],['#]],Table3[['#]:[Completion rate]],'High-level overview'!D$9,FALSE)),"")</f>
        <v/>
      </c>
      <c r="E44" s="26" t="str">
        <f>IFERROR(IF(VLOOKUP(Table2[[#This Row],['#]],Table3[['#]:[Completion rate]],'High-level overview'!E$9,FALSE)=0,"",VLOOKUP(Table2[[#This Row],['#]],Table3[['#]:[Completion rate]],'High-level overview'!E$9,FALSE)),"")</f>
        <v/>
      </c>
      <c r="F44" s="26" t="str">
        <f>IFERROR(IF(VLOOKUP(Table2[[#This Row],['#]],Table3[['#]:[Completion rate]],'High-level overview'!F$9,FALSE)=0,"",VLOOKUP(Table2[[#This Row],['#]],Table3[['#]:[Completion rate]],'High-level overview'!F$9,FALSE)),"")</f>
        <v/>
      </c>
      <c r="G44" s="27" t="str">
        <f>IFERROR(IF(VLOOKUP(Table2[[#This Row],['#]],Table3[['#]:[Completion rate]],'High-level overview'!G$9,FALSE)=0,"",VLOOKUP(Table2[[#This Row],['#]],Table3[['#]:[Completion rate]],'High-level overview'!G$9,FALSE)),"")</f>
        <v/>
      </c>
      <c r="H44" s="27" t="str">
        <f>IFERROR(IF(VLOOKUP(Table2[[#This Row],['#]],Table3[['#]:[Completion rate]],'High-level overview'!H$9,FALSE)=0,"",VLOOKUP(Table2[[#This Row],['#]],Table3[['#]:[Completion rate]],'High-level overview'!H$9,FALSE)),"")</f>
        <v/>
      </c>
      <c r="I44" s="27" t="str">
        <f>IFERROR(IF(VLOOKUP(Table2[[#This Row],['#]],Table3[['#]:[Completion rate]],'High-level overview'!I$9,FALSE)=0,"",VLOOKUP(Table2[[#This Row],['#]],Table3[['#]:[Completion rate]],'High-level overview'!I$9,FALSE)),"")</f>
        <v/>
      </c>
      <c r="J44" s="25" t="str">
        <f>IFERROR(IF(VLOOKUP(Table2[[#This Row],['#]],Table3[['#]:[Completion rate]],'High-level overview'!J$9,FALSE)=0,"",VLOOKUP(Table2[[#This Row],['#]],Table3[['#]:[Completion rate]],'High-level overview'!J$9,FALSE)),"")</f>
        <v/>
      </c>
      <c r="K44" s="25" t="str">
        <f>IFERROR(IF(VLOOKUP(Table2[[#This Row],['#]],Table3[['#]:[Completion rate]],'High-level overview'!K$9,FALSE)=0,"",VLOOKUP(Table2[[#This Row],['#]],Table3[['#]:[Completion rate]],'High-level overview'!K$9,FALSE)),"")</f>
        <v/>
      </c>
      <c r="L44" s="27" t="str">
        <f>IFERROR(IF(VLOOKUP(Table2[[#This Row],['#]],Table3[['#]:[Completion rate]],'High-level overview'!L$9,FALSE)=0,"",VLOOKUP(Table2[[#This Row],['#]],Table3[['#]:[Completion rate]],'High-level overview'!L$9,FALSE)),"")</f>
        <v/>
      </c>
      <c r="M44" s="28" t="str">
        <f>IFERROR(IF(VLOOKUP(Table2[[#This Row],['#]],Table3[['#]:[Completion rate]],'High-level overview'!M$9,FALSE)=0,"",VLOOKUP(Table2[[#This Row],['#]],Table3[['#]:[Completion rate]],'High-level overview'!M$9,FALSE)),"")</f>
        <v/>
      </c>
    </row>
    <row r="45" spans="2:13" ht="23.25" customHeight="1" x14ac:dyDescent="0.25">
      <c r="B45" s="25"/>
      <c r="C45" s="25">
        <v>34</v>
      </c>
      <c r="D45" s="26" t="str">
        <f>IFERROR(IF(VLOOKUP(Table2[[#This Row],['#]],Table3[['#]:[Completion rate]],'High-level overview'!D$9,FALSE)=0,"",VLOOKUP(Table2[[#This Row],['#]],Table3[['#]:[Completion rate]],'High-level overview'!D$9,FALSE)),"")</f>
        <v/>
      </c>
      <c r="E45" s="26" t="str">
        <f>IFERROR(IF(VLOOKUP(Table2[[#This Row],['#]],Table3[['#]:[Completion rate]],'High-level overview'!E$9,FALSE)=0,"",VLOOKUP(Table2[[#This Row],['#]],Table3[['#]:[Completion rate]],'High-level overview'!E$9,FALSE)),"")</f>
        <v/>
      </c>
      <c r="F45" s="26" t="str">
        <f>IFERROR(IF(VLOOKUP(Table2[[#This Row],['#]],Table3[['#]:[Completion rate]],'High-level overview'!F$9,FALSE)=0,"",VLOOKUP(Table2[[#This Row],['#]],Table3[['#]:[Completion rate]],'High-level overview'!F$9,FALSE)),"")</f>
        <v/>
      </c>
      <c r="G45" s="27" t="str">
        <f>IFERROR(IF(VLOOKUP(Table2[[#This Row],['#]],Table3[['#]:[Completion rate]],'High-level overview'!G$9,FALSE)=0,"",VLOOKUP(Table2[[#This Row],['#]],Table3[['#]:[Completion rate]],'High-level overview'!G$9,FALSE)),"")</f>
        <v/>
      </c>
      <c r="H45" s="27" t="str">
        <f>IFERROR(IF(VLOOKUP(Table2[[#This Row],['#]],Table3[['#]:[Completion rate]],'High-level overview'!H$9,FALSE)=0,"",VLOOKUP(Table2[[#This Row],['#]],Table3[['#]:[Completion rate]],'High-level overview'!H$9,FALSE)),"")</f>
        <v/>
      </c>
      <c r="I45" s="27" t="str">
        <f>IFERROR(IF(VLOOKUP(Table2[[#This Row],['#]],Table3[['#]:[Completion rate]],'High-level overview'!I$9,FALSE)=0,"",VLOOKUP(Table2[[#This Row],['#]],Table3[['#]:[Completion rate]],'High-level overview'!I$9,FALSE)),"")</f>
        <v/>
      </c>
      <c r="J45" s="25" t="str">
        <f>IFERROR(IF(VLOOKUP(Table2[[#This Row],['#]],Table3[['#]:[Completion rate]],'High-level overview'!J$9,FALSE)=0,"",VLOOKUP(Table2[[#This Row],['#]],Table3[['#]:[Completion rate]],'High-level overview'!J$9,FALSE)),"")</f>
        <v/>
      </c>
      <c r="K45" s="25" t="str">
        <f>IFERROR(IF(VLOOKUP(Table2[[#This Row],['#]],Table3[['#]:[Completion rate]],'High-level overview'!K$9,FALSE)=0,"",VLOOKUP(Table2[[#This Row],['#]],Table3[['#]:[Completion rate]],'High-level overview'!K$9,FALSE)),"")</f>
        <v/>
      </c>
      <c r="L45" s="27" t="str">
        <f>IFERROR(IF(VLOOKUP(Table2[[#This Row],['#]],Table3[['#]:[Completion rate]],'High-level overview'!L$9,FALSE)=0,"",VLOOKUP(Table2[[#This Row],['#]],Table3[['#]:[Completion rate]],'High-level overview'!L$9,FALSE)),"")</f>
        <v/>
      </c>
      <c r="M45" s="28" t="str">
        <f>IFERROR(IF(VLOOKUP(Table2[[#This Row],['#]],Table3[['#]:[Completion rate]],'High-level overview'!M$9,FALSE)=0,"",VLOOKUP(Table2[[#This Row],['#]],Table3[['#]:[Completion rate]],'High-level overview'!M$9,FALSE)),"")</f>
        <v/>
      </c>
    </row>
    <row r="46" spans="2:13" ht="23.25" customHeight="1" x14ac:dyDescent="0.25">
      <c r="B46" s="25"/>
      <c r="C46" s="25">
        <v>35</v>
      </c>
      <c r="D46" s="26" t="str">
        <f>IFERROR(IF(VLOOKUP(Table2[[#This Row],['#]],Table3[['#]:[Completion rate]],'High-level overview'!D$9,FALSE)=0,"",VLOOKUP(Table2[[#This Row],['#]],Table3[['#]:[Completion rate]],'High-level overview'!D$9,FALSE)),"")</f>
        <v/>
      </c>
      <c r="E46" s="26" t="str">
        <f>IFERROR(IF(VLOOKUP(Table2[[#This Row],['#]],Table3[['#]:[Completion rate]],'High-level overview'!E$9,FALSE)=0,"",VLOOKUP(Table2[[#This Row],['#]],Table3[['#]:[Completion rate]],'High-level overview'!E$9,FALSE)),"")</f>
        <v/>
      </c>
      <c r="F46" s="26" t="str">
        <f>IFERROR(IF(VLOOKUP(Table2[[#This Row],['#]],Table3[['#]:[Completion rate]],'High-level overview'!F$9,FALSE)=0,"",VLOOKUP(Table2[[#This Row],['#]],Table3[['#]:[Completion rate]],'High-level overview'!F$9,FALSE)),"")</f>
        <v/>
      </c>
      <c r="G46" s="27" t="str">
        <f>IFERROR(IF(VLOOKUP(Table2[[#This Row],['#]],Table3[['#]:[Completion rate]],'High-level overview'!G$9,FALSE)=0,"",VLOOKUP(Table2[[#This Row],['#]],Table3[['#]:[Completion rate]],'High-level overview'!G$9,FALSE)),"")</f>
        <v/>
      </c>
      <c r="H46" s="27" t="str">
        <f>IFERROR(IF(VLOOKUP(Table2[[#This Row],['#]],Table3[['#]:[Completion rate]],'High-level overview'!H$9,FALSE)=0,"",VLOOKUP(Table2[[#This Row],['#]],Table3[['#]:[Completion rate]],'High-level overview'!H$9,FALSE)),"")</f>
        <v/>
      </c>
      <c r="I46" s="27" t="str">
        <f>IFERROR(IF(VLOOKUP(Table2[[#This Row],['#]],Table3[['#]:[Completion rate]],'High-level overview'!I$9,FALSE)=0,"",VLOOKUP(Table2[[#This Row],['#]],Table3[['#]:[Completion rate]],'High-level overview'!I$9,FALSE)),"")</f>
        <v/>
      </c>
      <c r="J46" s="25" t="str">
        <f>IFERROR(IF(VLOOKUP(Table2[[#This Row],['#]],Table3[['#]:[Completion rate]],'High-level overview'!J$9,FALSE)=0,"",VLOOKUP(Table2[[#This Row],['#]],Table3[['#]:[Completion rate]],'High-level overview'!J$9,FALSE)),"")</f>
        <v/>
      </c>
      <c r="K46" s="25" t="str">
        <f>IFERROR(IF(VLOOKUP(Table2[[#This Row],['#]],Table3[['#]:[Completion rate]],'High-level overview'!K$9,FALSE)=0,"",VLOOKUP(Table2[[#This Row],['#]],Table3[['#]:[Completion rate]],'High-level overview'!K$9,FALSE)),"")</f>
        <v/>
      </c>
      <c r="L46" s="27" t="str">
        <f>IFERROR(IF(VLOOKUP(Table2[[#This Row],['#]],Table3[['#]:[Completion rate]],'High-level overview'!L$9,FALSE)=0,"",VLOOKUP(Table2[[#This Row],['#]],Table3[['#]:[Completion rate]],'High-level overview'!L$9,FALSE)),"")</f>
        <v/>
      </c>
      <c r="M46" s="28" t="str">
        <f>IFERROR(IF(VLOOKUP(Table2[[#This Row],['#]],Table3[['#]:[Completion rate]],'High-level overview'!M$9,FALSE)=0,"",VLOOKUP(Table2[[#This Row],['#]],Table3[['#]:[Completion rate]],'High-level overview'!M$9,FALSE)),"")</f>
        <v/>
      </c>
    </row>
    <row r="47" spans="2:13" ht="23.25" customHeight="1" x14ac:dyDescent="0.25">
      <c r="B47" s="25"/>
      <c r="C47" s="25">
        <v>36</v>
      </c>
      <c r="D47" s="26" t="str">
        <f>IFERROR(IF(VLOOKUP(Table2[[#This Row],['#]],Table3[['#]:[Completion rate]],'High-level overview'!D$9,FALSE)=0,"",VLOOKUP(Table2[[#This Row],['#]],Table3[['#]:[Completion rate]],'High-level overview'!D$9,FALSE)),"")</f>
        <v/>
      </c>
      <c r="E47" s="26" t="str">
        <f>IFERROR(IF(VLOOKUP(Table2[[#This Row],['#]],Table3[['#]:[Completion rate]],'High-level overview'!E$9,FALSE)=0,"",VLOOKUP(Table2[[#This Row],['#]],Table3[['#]:[Completion rate]],'High-level overview'!E$9,FALSE)),"")</f>
        <v/>
      </c>
      <c r="F47" s="26" t="str">
        <f>IFERROR(IF(VLOOKUP(Table2[[#This Row],['#]],Table3[['#]:[Completion rate]],'High-level overview'!F$9,FALSE)=0,"",VLOOKUP(Table2[[#This Row],['#]],Table3[['#]:[Completion rate]],'High-level overview'!F$9,FALSE)),"")</f>
        <v/>
      </c>
      <c r="G47" s="27" t="str">
        <f>IFERROR(IF(VLOOKUP(Table2[[#This Row],['#]],Table3[['#]:[Completion rate]],'High-level overview'!G$9,FALSE)=0,"",VLOOKUP(Table2[[#This Row],['#]],Table3[['#]:[Completion rate]],'High-level overview'!G$9,FALSE)),"")</f>
        <v/>
      </c>
      <c r="H47" s="27" t="str">
        <f>IFERROR(IF(VLOOKUP(Table2[[#This Row],['#]],Table3[['#]:[Completion rate]],'High-level overview'!H$9,FALSE)=0,"",VLOOKUP(Table2[[#This Row],['#]],Table3[['#]:[Completion rate]],'High-level overview'!H$9,FALSE)),"")</f>
        <v/>
      </c>
      <c r="I47" s="27" t="str">
        <f>IFERROR(IF(VLOOKUP(Table2[[#This Row],['#]],Table3[['#]:[Completion rate]],'High-level overview'!I$9,FALSE)=0,"",VLOOKUP(Table2[[#This Row],['#]],Table3[['#]:[Completion rate]],'High-level overview'!I$9,FALSE)),"")</f>
        <v/>
      </c>
      <c r="J47" s="25" t="str">
        <f>IFERROR(IF(VLOOKUP(Table2[[#This Row],['#]],Table3[['#]:[Completion rate]],'High-level overview'!J$9,FALSE)=0,"",VLOOKUP(Table2[[#This Row],['#]],Table3[['#]:[Completion rate]],'High-level overview'!J$9,FALSE)),"")</f>
        <v/>
      </c>
      <c r="K47" s="25" t="str">
        <f>IFERROR(IF(VLOOKUP(Table2[[#This Row],['#]],Table3[['#]:[Completion rate]],'High-level overview'!K$9,FALSE)=0,"",VLOOKUP(Table2[[#This Row],['#]],Table3[['#]:[Completion rate]],'High-level overview'!K$9,FALSE)),"")</f>
        <v/>
      </c>
      <c r="L47" s="27" t="str">
        <f>IFERROR(IF(VLOOKUP(Table2[[#This Row],['#]],Table3[['#]:[Completion rate]],'High-level overview'!L$9,FALSE)=0,"",VLOOKUP(Table2[[#This Row],['#]],Table3[['#]:[Completion rate]],'High-level overview'!L$9,FALSE)),"")</f>
        <v/>
      </c>
      <c r="M47" s="28" t="str">
        <f>IFERROR(IF(VLOOKUP(Table2[[#This Row],['#]],Table3[['#]:[Completion rate]],'High-level overview'!M$9,FALSE)=0,"",VLOOKUP(Table2[[#This Row],['#]],Table3[['#]:[Completion rate]],'High-level overview'!M$9,FALSE)),"")</f>
        <v/>
      </c>
    </row>
    <row r="48" spans="2:13" ht="23.25" customHeight="1" x14ac:dyDescent="0.25">
      <c r="B48" s="25"/>
      <c r="C48" s="25">
        <v>37</v>
      </c>
      <c r="D48" s="26" t="str">
        <f>IFERROR(IF(VLOOKUP(Table2[[#This Row],['#]],Table3[['#]:[Completion rate]],'High-level overview'!D$9,FALSE)=0,"",VLOOKUP(Table2[[#This Row],['#]],Table3[['#]:[Completion rate]],'High-level overview'!D$9,FALSE)),"")</f>
        <v/>
      </c>
      <c r="E48" s="26" t="str">
        <f>IFERROR(IF(VLOOKUP(Table2[[#This Row],['#]],Table3[['#]:[Completion rate]],'High-level overview'!E$9,FALSE)=0,"",VLOOKUP(Table2[[#This Row],['#]],Table3[['#]:[Completion rate]],'High-level overview'!E$9,FALSE)),"")</f>
        <v/>
      </c>
      <c r="F48" s="26" t="str">
        <f>IFERROR(IF(VLOOKUP(Table2[[#This Row],['#]],Table3[['#]:[Completion rate]],'High-level overview'!F$9,FALSE)=0,"",VLOOKUP(Table2[[#This Row],['#]],Table3[['#]:[Completion rate]],'High-level overview'!F$9,FALSE)),"")</f>
        <v/>
      </c>
      <c r="G48" s="27" t="str">
        <f>IFERROR(IF(VLOOKUP(Table2[[#This Row],['#]],Table3[['#]:[Completion rate]],'High-level overview'!G$9,FALSE)=0,"",VLOOKUP(Table2[[#This Row],['#]],Table3[['#]:[Completion rate]],'High-level overview'!G$9,FALSE)),"")</f>
        <v/>
      </c>
      <c r="H48" s="27" t="str">
        <f>IFERROR(IF(VLOOKUP(Table2[[#This Row],['#]],Table3[['#]:[Completion rate]],'High-level overview'!H$9,FALSE)=0,"",VLOOKUP(Table2[[#This Row],['#]],Table3[['#]:[Completion rate]],'High-level overview'!H$9,FALSE)),"")</f>
        <v/>
      </c>
      <c r="I48" s="27" t="str">
        <f>IFERROR(IF(VLOOKUP(Table2[[#This Row],['#]],Table3[['#]:[Completion rate]],'High-level overview'!I$9,FALSE)=0,"",VLOOKUP(Table2[[#This Row],['#]],Table3[['#]:[Completion rate]],'High-level overview'!I$9,FALSE)),"")</f>
        <v/>
      </c>
      <c r="J48" s="25" t="str">
        <f>IFERROR(IF(VLOOKUP(Table2[[#This Row],['#]],Table3[['#]:[Completion rate]],'High-level overview'!J$9,FALSE)=0,"",VLOOKUP(Table2[[#This Row],['#]],Table3[['#]:[Completion rate]],'High-level overview'!J$9,FALSE)),"")</f>
        <v/>
      </c>
      <c r="K48" s="25" t="str">
        <f>IFERROR(IF(VLOOKUP(Table2[[#This Row],['#]],Table3[['#]:[Completion rate]],'High-level overview'!K$9,FALSE)=0,"",VLOOKUP(Table2[[#This Row],['#]],Table3[['#]:[Completion rate]],'High-level overview'!K$9,FALSE)),"")</f>
        <v/>
      </c>
      <c r="L48" s="27" t="str">
        <f>IFERROR(IF(VLOOKUP(Table2[[#This Row],['#]],Table3[['#]:[Completion rate]],'High-level overview'!L$9,FALSE)=0,"",VLOOKUP(Table2[[#This Row],['#]],Table3[['#]:[Completion rate]],'High-level overview'!L$9,FALSE)),"")</f>
        <v/>
      </c>
      <c r="M48" s="28" t="str">
        <f>IFERROR(IF(VLOOKUP(Table2[[#This Row],['#]],Table3[['#]:[Completion rate]],'High-level overview'!M$9,FALSE)=0,"",VLOOKUP(Table2[[#This Row],['#]],Table3[['#]:[Completion rate]],'High-level overview'!M$9,FALSE)),"")</f>
        <v/>
      </c>
    </row>
    <row r="49" spans="2:13" ht="23.25" customHeight="1" x14ac:dyDescent="0.25">
      <c r="B49" s="25"/>
      <c r="C49" s="25">
        <v>38</v>
      </c>
      <c r="D49" s="26" t="str">
        <f>IFERROR(IF(VLOOKUP(Table2[[#This Row],['#]],Table3[['#]:[Completion rate]],'High-level overview'!D$9,FALSE)=0,"",VLOOKUP(Table2[[#This Row],['#]],Table3[['#]:[Completion rate]],'High-level overview'!D$9,FALSE)),"")</f>
        <v/>
      </c>
      <c r="E49" s="26" t="str">
        <f>IFERROR(IF(VLOOKUP(Table2[[#This Row],['#]],Table3[['#]:[Completion rate]],'High-level overview'!E$9,FALSE)=0,"",VLOOKUP(Table2[[#This Row],['#]],Table3[['#]:[Completion rate]],'High-level overview'!E$9,FALSE)),"")</f>
        <v/>
      </c>
      <c r="F49" s="26" t="str">
        <f>IFERROR(IF(VLOOKUP(Table2[[#This Row],['#]],Table3[['#]:[Completion rate]],'High-level overview'!F$9,FALSE)=0,"",VLOOKUP(Table2[[#This Row],['#]],Table3[['#]:[Completion rate]],'High-level overview'!F$9,FALSE)),"")</f>
        <v/>
      </c>
      <c r="G49" s="27" t="str">
        <f>IFERROR(IF(VLOOKUP(Table2[[#This Row],['#]],Table3[['#]:[Completion rate]],'High-level overview'!G$9,FALSE)=0,"",VLOOKUP(Table2[[#This Row],['#]],Table3[['#]:[Completion rate]],'High-level overview'!G$9,FALSE)),"")</f>
        <v/>
      </c>
      <c r="H49" s="27" t="str">
        <f>IFERROR(IF(VLOOKUP(Table2[[#This Row],['#]],Table3[['#]:[Completion rate]],'High-level overview'!H$9,FALSE)=0,"",VLOOKUP(Table2[[#This Row],['#]],Table3[['#]:[Completion rate]],'High-level overview'!H$9,FALSE)),"")</f>
        <v/>
      </c>
      <c r="I49" s="27" t="str">
        <f>IFERROR(IF(VLOOKUP(Table2[[#This Row],['#]],Table3[['#]:[Completion rate]],'High-level overview'!I$9,FALSE)=0,"",VLOOKUP(Table2[[#This Row],['#]],Table3[['#]:[Completion rate]],'High-level overview'!I$9,FALSE)),"")</f>
        <v/>
      </c>
      <c r="J49" s="25" t="str">
        <f>IFERROR(IF(VLOOKUP(Table2[[#This Row],['#]],Table3[['#]:[Completion rate]],'High-level overview'!J$9,FALSE)=0,"",VLOOKUP(Table2[[#This Row],['#]],Table3[['#]:[Completion rate]],'High-level overview'!J$9,FALSE)),"")</f>
        <v/>
      </c>
      <c r="K49" s="25" t="str">
        <f>IFERROR(IF(VLOOKUP(Table2[[#This Row],['#]],Table3[['#]:[Completion rate]],'High-level overview'!K$9,FALSE)=0,"",VLOOKUP(Table2[[#This Row],['#]],Table3[['#]:[Completion rate]],'High-level overview'!K$9,FALSE)),"")</f>
        <v/>
      </c>
      <c r="L49" s="27" t="str">
        <f>IFERROR(IF(VLOOKUP(Table2[[#This Row],['#]],Table3[['#]:[Completion rate]],'High-level overview'!L$9,FALSE)=0,"",VLOOKUP(Table2[[#This Row],['#]],Table3[['#]:[Completion rate]],'High-level overview'!L$9,FALSE)),"")</f>
        <v/>
      </c>
      <c r="M49" s="28" t="str">
        <f>IFERROR(IF(VLOOKUP(Table2[[#This Row],['#]],Table3[['#]:[Completion rate]],'High-level overview'!M$9,FALSE)=0,"",VLOOKUP(Table2[[#This Row],['#]],Table3[['#]:[Completion rate]],'High-level overview'!M$9,FALSE)),"")</f>
        <v/>
      </c>
    </row>
    <row r="50" spans="2:13" ht="23.25" customHeight="1" x14ac:dyDescent="0.25">
      <c r="B50" s="25"/>
      <c r="C50" s="25">
        <v>39</v>
      </c>
      <c r="D50" s="26" t="str">
        <f>IFERROR(IF(VLOOKUP(Table2[[#This Row],['#]],Table3[['#]:[Completion rate]],'High-level overview'!D$9,FALSE)=0,"",VLOOKUP(Table2[[#This Row],['#]],Table3[['#]:[Completion rate]],'High-level overview'!D$9,FALSE)),"")</f>
        <v/>
      </c>
      <c r="E50" s="26" t="str">
        <f>IFERROR(IF(VLOOKUP(Table2[[#This Row],['#]],Table3[['#]:[Completion rate]],'High-level overview'!E$9,FALSE)=0,"",VLOOKUP(Table2[[#This Row],['#]],Table3[['#]:[Completion rate]],'High-level overview'!E$9,FALSE)),"")</f>
        <v/>
      </c>
      <c r="F50" s="26" t="str">
        <f>IFERROR(IF(VLOOKUP(Table2[[#This Row],['#]],Table3[['#]:[Completion rate]],'High-level overview'!F$9,FALSE)=0,"",VLOOKUP(Table2[[#This Row],['#]],Table3[['#]:[Completion rate]],'High-level overview'!F$9,FALSE)),"")</f>
        <v/>
      </c>
      <c r="G50" s="27" t="str">
        <f>IFERROR(IF(VLOOKUP(Table2[[#This Row],['#]],Table3[['#]:[Completion rate]],'High-level overview'!G$9,FALSE)=0,"",VLOOKUP(Table2[[#This Row],['#]],Table3[['#]:[Completion rate]],'High-level overview'!G$9,FALSE)),"")</f>
        <v/>
      </c>
      <c r="H50" s="27" t="str">
        <f>IFERROR(IF(VLOOKUP(Table2[[#This Row],['#]],Table3[['#]:[Completion rate]],'High-level overview'!H$9,FALSE)=0,"",VLOOKUP(Table2[[#This Row],['#]],Table3[['#]:[Completion rate]],'High-level overview'!H$9,FALSE)),"")</f>
        <v/>
      </c>
      <c r="I50" s="27" t="str">
        <f>IFERROR(IF(VLOOKUP(Table2[[#This Row],['#]],Table3[['#]:[Completion rate]],'High-level overview'!I$9,FALSE)=0,"",VLOOKUP(Table2[[#This Row],['#]],Table3[['#]:[Completion rate]],'High-level overview'!I$9,FALSE)),"")</f>
        <v/>
      </c>
      <c r="J50" s="25" t="str">
        <f>IFERROR(IF(VLOOKUP(Table2[[#This Row],['#]],Table3[['#]:[Completion rate]],'High-level overview'!J$9,FALSE)=0,"",VLOOKUP(Table2[[#This Row],['#]],Table3[['#]:[Completion rate]],'High-level overview'!J$9,FALSE)),"")</f>
        <v/>
      </c>
      <c r="K50" s="25" t="str">
        <f>IFERROR(IF(VLOOKUP(Table2[[#This Row],['#]],Table3[['#]:[Completion rate]],'High-level overview'!K$9,FALSE)=0,"",VLOOKUP(Table2[[#This Row],['#]],Table3[['#]:[Completion rate]],'High-level overview'!K$9,FALSE)),"")</f>
        <v/>
      </c>
      <c r="L50" s="27" t="str">
        <f>IFERROR(IF(VLOOKUP(Table2[[#This Row],['#]],Table3[['#]:[Completion rate]],'High-level overview'!L$9,FALSE)=0,"",VLOOKUP(Table2[[#This Row],['#]],Table3[['#]:[Completion rate]],'High-level overview'!L$9,FALSE)),"")</f>
        <v/>
      </c>
      <c r="M50" s="28" t="str">
        <f>IFERROR(IF(VLOOKUP(Table2[[#This Row],['#]],Table3[['#]:[Completion rate]],'High-level overview'!M$9,FALSE)=0,"",VLOOKUP(Table2[[#This Row],['#]],Table3[['#]:[Completion rate]],'High-level overview'!M$9,FALSE)),"")</f>
        <v/>
      </c>
    </row>
    <row r="51" spans="2:13" ht="23.25" customHeight="1" x14ac:dyDescent="0.25">
      <c r="B51" s="25"/>
      <c r="C51" s="25">
        <v>40</v>
      </c>
      <c r="D51" s="26" t="str">
        <f>IFERROR(IF(VLOOKUP(Table2[[#This Row],['#]],Table3[['#]:[Completion rate]],'High-level overview'!D$9,FALSE)=0,"",VLOOKUP(Table2[[#This Row],['#]],Table3[['#]:[Completion rate]],'High-level overview'!D$9,FALSE)),"")</f>
        <v/>
      </c>
      <c r="E51" s="26" t="str">
        <f>IFERROR(IF(VLOOKUP(Table2[[#This Row],['#]],Table3[['#]:[Completion rate]],'High-level overview'!E$9,FALSE)=0,"",VLOOKUP(Table2[[#This Row],['#]],Table3[['#]:[Completion rate]],'High-level overview'!E$9,FALSE)),"")</f>
        <v/>
      </c>
      <c r="F51" s="26" t="str">
        <f>IFERROR(IF(VLOOKUP(Table2[[#This Row],['#]],Table3[['#]:[Completion rate]],'High-level overview'!F$9,FALSE)=0,"",VLOOKUP(Table2[[#This Row],['#]],Table3[['#]:[Completion rate]],'High-level overview'!F$9,FALSE)),"")</f>
        <v/>
      </c>
      <c r="G51" s="27" t="str">
        <f>IFERROR(IF(VLOOKUP(Table2[[#This Row],['#]],Table3[['#]:[Completion rate]],'High-level overview'!G$9,FALSE)=0,"",VLOOKUP(Table2[[#This Row],['#]],Table3[['#]:[Completion rate]],'High-level overview'!G$9,FALSE)),"")</f>
        <v/>
      </c>
      <c r="H51" s="27" t="str">
        <f>IFERROR(IF(VLOOKUP(Table2[[#This Row],['#]],Table3[['#]:[Completion rate]],'High-level overview'!H$9,FALSE)=0,"",VLOOKUP(Table2[[#This Row],['#]],Table3[['#]:[Completion rate]],'High-level overview'!H$9,FALSE)),"")</f>
        <v/>
      </c>
      <c r="I51" s="27" t="str">
        <f>IFERROR(IF(VLOOKUP(Table2[[#This Row],['#]],Table3[['#]:[Completion rate]],'High-level overview'!I$9,FALSE)=0,"",VLOOKUP(Table2[[#This Row],['#]],Table3[['#]:[Completion rate]],'High-level overview'!I$9,FALSE)),"")</f>
        <v/>
      </c>
      <c r="J51" s="25" t="str">
        <f>IFERROR(IF(VLOOKUP(Table2[[#This Row],['#]],Table3[['#]:[Completion rate]],'High-level overview'!J$9,FALSE)=0,"",VLOOKUP(Table2[[#This Row],['#]],Table3[['#]:[Completion rate]],'High-level overview'!J$9,FALSE)),"")</f>
        <v/>
      </c>
      <c r="K51" s="25" t="str">
        <f>IFERROR(IF(VLOOKUP(Table2[[#This Row],['#]],Table3[['#]:[Completion rate]],'High-level overview'!K$9,FALSE)=0,"",VLOOKUP(Table2[[#This Row],['#]],Table3[['#]:[Completion rate]],'High-level overview'!K$9,FALSE)),"")</f>
        <v/>
      </c>
      <c r="L51" s="27" t="str">
        <f>IFERROR(IF(VLOOKUP(Table2[[#This Row],['#]],Table3[['#]:[Completion rate]],'High-level overview'!L$9,FALSE)=0,"",VLOOKUP(Table2[[#This Row],['#]],Table3[['#]:[Completion rate]],'High-level overview'!L$9,FALSE)),"")</f>
        <v/>
      </c>
      <c r="M51" s="28" t="str">
        <f>IFERROR(IF(VLOOKUP(Table2[[#This Row],['#]],Table3[['#]:[Completion rate]],'High-level overview'!M$9,FALSE)=0,"",VLOOKUP(Table2[[#This Row],['#]],Table3[['#]:[Completion rate]],'High-level overview'!M$9,FALSE)),"")</f>
        <v/>
      </c>
    </row>
  </sheetData>
  <conditionalFormatting sqref="B12:C51">
    <cfRule type="expression" dxfId="13" priority="14">
      <formula>OR(AND($E12="Employees &amp; Learning",$F12="Strong Talent Pipeline"),AND($E12="Employees &amp; Learning",$F12="Relevant Training"),AND($E12="Employees &amp; Learning",$F12="Great Store Management"),AND($E12="Employees &amp; Learning",$F12="Attractive Place to Work"))</formula>
    </cfRule>
    <cfRule type="expression" dxfId="12" priority="15">
      <formula>OR(AND($E12="Internal Processes",$F12="Balanced Flow of Goods"),AND($E12="Internal Processes",$F12="Relevant assortment"),AND($E12="Internal Processes",$F12="Attractive stores"),AND($E12="Internal Processes",$F12="Effective Marketing"))</formula>
    </cfRule>
    <cfRule type="expression" dxfId="11" priority="16">
      <formula>OR(AND($E12="Customer first",$F12="Reliable product quality"),AND($E12="Customer first",$F12="Easy shopping"),AND($E12="Customer first",$F12="Competent service"),AND($E12="Customer first",$F12="Seamless cross channel"))</formula>
    </cfRule>
    <cfRule type="expression" dxfId="10" priority="17">
      <formula>OR(AND($E12="Finance",$F12="Even better cost management"),AND($E12="Finance",$F12="Improve Earnings"),AND($E12="Finance",$F12="Sales Growth"),AND($E12="Finance",$F12="Expansion"))</formula>
    </cfRule>
  </conditionalFormatting>
  <conditionalFormatting sqref="E12:E51">
    <cfRule type="expression" dxfId="9" priority="9">
      <formula>$E12="Employees &amp; Learning"</formula>
    </cfRule>
    <cfRule type="expression" dxfId="8" priority="10">
      <formula>$E12="Internal Processes"</formula>
    </cfRule>
    <cfRule type="expression" dxfId="7" priority="11">
      <formula>$E12="Customer First"</formula>
    </cfRule>
    <cfRule type="expression" dxfId="6" priority="12">
      <formula>$E12="Finance"</formula>
    </cfRule>
  </conditionalFormatting>
  <conditionalFormatting sqref="F12:F51">
    <cfRule type="expression" dxfId="5" priority="2">
      <formula>OR(AND($E12="Employees &amp; Learning",$F12="Strong Talent Pipeline"),AND($E12="Employees &amp; Learning",$F12="Relevant Training"),AND($E12="Employees &amp; Learning",$F12="Great Store Management"),AND($E12="Employees &amp; Learning",$F12="Attractive Place to Work"))</formula>
    </cfRule>
    <cfRule type="expression" dxfId="4" priority="3">
      <formula>OR(AND($E12="Internal Processes",$F12="Balanced Flow of Goods"),AND($E12="Internal Processes",$F12="Relevant assortment"),AND($E12="Internal Processes",$F12="Attractive stores"),AND($E12="Internal Processes",$F12="Effective Marketing"))</formula>
    </cfRule>
    <cfRule type="expression" dxfId="3" priority="4">
      <formula>OR(AND($E12="Customer first",$F12="Reliable product quality"),AND($E12="Customer first",$F12="Easy shopping"),AND($E12="Customer first",$F12="Competent service"),AND($E12="Customer first",$F12="Seamless cross channel"))</formula>
    </cfRule>
    <cfRule type="expression" dxfId="2" priority="5">
      <formula>OR(AND($E12="Finance",$F12="Even better cost management"),AND($E12="Finance",$F12="Improve Earnings"),AND($E12="Finance",$F12="Sales Growth"),AND($E12="Finance",$F12="Expansion"))</formula>
    </cfRule>
  </conditionalFormatting>
  <conditionalFormatting sqref="M12:M51">
    <cfRule type="dataBar" priority="1">
      <dataBar>
        <cfvo type="num" val="0"/>
        <cfvo type="num" val="1"/>
        <color rgb="FF63C384"/>
      </dataBar>
      <extLst>
        <ext xmlns:x14="http://schemas.microsoft.com/office/spreadsheetml/2009/9/main" uri="{B025F937-C7B1-47D3-B67F-A62EFF666E3E}">
          <x14:id>{F2EA7B73-DCE3-4C82-9B4C-BA4C2CF3B1F9}</x14:id>
        </ext>
      </extLst>
    </cfRule>
  </conditionalFormatting>
  <pageMargins left="0.7" right="0.7" top="0.75" bottom="0.75" header="0.3" footer="0.3"/>
  <pageSetup paperSize="9" orientation="portrait" r:id="rId1"/>
  <customProperties>
    <customPr name="_pios_id" r:id="rId2"/>
    <customPr name="EpmWorksheetKeyString_GUID" r:id="rId3"/>
  </customProperties>
  <drawing r:id="rId4"/>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F2EA7B73-DCE3-4C82-9B4C-BA4C2CF3B1F9}">
            <x14:dataBar minLength="0" maxLength="100" gradient="0">
              <x14:cfvo type="num">
                <xm:f>0</xm:f>
              </x14:cfvo>
              <x14:cfvo type="num">
                <xm:f>1</xm:f>
              </x14:cfvo>
              <x14:negativeFillColor rgb="FFFF0000"/>
              <x14:axisColor rgb="FF000000"/>
            </x14:dataBar>
          </x14:cfRule>
          <xm:sqref>M12:M51</xm:sqref>
        </x14:conditionalFormatting>
      </x14:conditionalFormattings>
    </ext>
    <ext xmlns:x15="http://schemas.microsoft.com/office/spreadsheetml/2010/11/main" uri="{3A4CF648-6AED-40f4-86FF-DC5316D8AED3}">
      <x14:slicerList xmlns:x14="http://schemas.microsoft.com/office/spreadsheetml/2009/9/main">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8"/>
  <sheetViews>
    <sheetView showGridLines="0" zoomScale="115" zoomScaleNormal="115" workbookViewId="0">
      <selection activeCell="J26" sqref="J26"/>
    </sheetView>
  </sheetViews>
  <sheetFormatPr defaultColWidth="0" defaultRowHeight="15" zeroHeight="1" x14ac:dyDescent="0.25"/>
  <cols>
    <col min="1" max="1" width="10" customWidth="1"/>
    <col min="2" max="24" width="9.140625" customWidth="1"/>
    <col min="25" max="16384" width="9.140625" hidden="1"/>
  </cols>
  <sheetData>
    <row r="1" spans="1:21" s="30" customFormat="1" ht="23.25" customHeight="1" x14ac:dyDescent="0.25">
      <c r="A1" s="29" t="s">
        <v>135</v>
      </c>
      <c r="B1" s="29"/>
      <c r="C1" s="29"/>
      <c r="D1" s="29"/>
      <c r="E1" s="31"/>
      <c r="F1" s="29"/>
      <c r="G1" s="29"/>
      <c r="H1" s="29"/>
      <c r="I1" s="29"/>
      <c r="J1" s="29"/>
      <c r="K1" s="29"/>
      <c r="L1" s="29"/>
      <c r="M1" s="29"/>
      <c r="N1" s="29"/>
      <c r="O1" s="29"/>
      <c r="P1" s="29"/>
      <c r="Q1" s="29"/>
      <c r="R1" s="29"/>
      <c r="S1" s="29"/>
      <c r="T1" s="29"/>
      <c r="U1" s="29"/>
    </row>
    <row r="2" spans="1:21" ht="24" customHeight="1" x14ac:dyDescent="0.25">
      <c r="A2" s="32" t="s">
        <v>136</v>
      </c>
    </row>
    <row r="3" spans="1:21" x14ac:dyDescent="0.25"/>
    <row r="4" spans="1:21" x14ac:dyDescent="0.25"/>
    <row r="5" spans="1:21" x14ac:dyDescent="0.25"/>
    <row r="6" spans="1:21" x14ac:dyDescent="0.25"/>
    <row r="7" spans="1:21" x14ac:dyDescent="0.25"/>
    <row r="8" spans="1:21" x14ac:dyDescent="0.25"/>
    <row r="9" spans="1:21" x14ac:dyDescent="0.25"/>
    <row r="10" spans="1:21" x14ac:dyDescent="0.25"/>
    <row r="11" spans="1:21" x14ac:dyDescent="0.25"/>
    <row r="12" spans="1:21" x14ac:dyDescent="0.25"/>
    <row r="13" spans="1:21" x14ac:dyDescent="0.25"/>
    <row r="14" spans="1:21" x14ac:dyDescent="0.25"/>
    <row r="15" spans="1:21" x14ac:dyDescent="0.25"/>
    <row r="16" spans="1:2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sheetData>
  <pageMargins left="0.7" right="0.7" top="0.75" bottom="0.75" header="0.3" footer="0.3"/>
  <pageSetup paperSize="9" orientation="portrait" r:id="rId1"/>
  <customProperties>
    <customPr name="_pios_id" r:id="rId2"/>
    <customPr name="EpmWorksheetKeyString_GUID"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B1:O27"/>
  <sheetViews>
    <sheetView workbookViewId="0">
      <selection activeCell="I3" sqref="I3:L6"/>
    </sheetView>
  </sheetViews>
  <sheetFormatPr defaultRowHeight="15" x14ac:dyDescent="0.25"/>
  <cols>
    <col min="2" max="2" width="15.7109375" bestFit="1" customWidth="1"/>
    <col min="4" max="4" width="20.85546875" bestFit="1" customWidth="1"/>
    <col min="6" max="6" width="28" bestFit="1" customWidth="1"/>
    <col min="9" max="9" width="28" bestFit="1" customWidth="1"/>
    <col min="10" max="10" width="22.5703125" bestFit="1" customWidth="1"/>
    <col min="11" max="11" width="22.42578125" bestFit="1" customWidth="1"/>
    <col min="12" max="12" width="23.5703125" bestFit="1" customWidth="1"/>
    <col min="13" max="13" width="28" bestFit="1" customWidth="1"/>
  </cols>
  <sheetData>
    <row r="1" spans="2:15" x14ac:dyDescent="0.25">
      <c r="O1" s="10" t="s">
        <v>10</v>
      </c>
    </row>
    <row r="2" spans="2:15" x14ac:dyDescent="0.25">
      <c r="B2" s="10" t="s">
        <v>67</v>
      </c>
      <c r="D2" s="10" t="s">
        <v>68</v>
      </c>
      <c r="F2" s="10" t="s">
        <v>69</v>
      </c>
      <c r="I2" s="11" t="s">
        <v>11</v>
      </c>
      <c r="J2" s="12" t="s">
        <v>147</v>
      </c>
      <c r="K2" s="13" t="s">
        <v>145</v>
      </c>
      <c r="L2" s="14" t="s">
        <v>146</v>
      </c>
      <c r="M2" s="1"/>
      <c r="O2" s="2">
        <v>1</v>
      </c>
    </row>
    <row r="3" spans="2:15" x14ac:dyDescent="0.25">
      <c r="B3" t="s">
        <v>13</v>
      </c>
      <c r="D3" t="s">
        <v>11</v>
      </c>
      <c r="F3" t="s">
        <v>70</v>
      </c>
      <c r="I3" t="s">
        <v>70</v>
      </c>
      <c r="J3" t="s">
        <v>71</v>
      </c>
      <c r="K3" t="s">
        <v>140</v>
      </c>
      <c r="L3" t="s">
        <v>143</v>
      </c>
      <c r="M3" t="s">
        <v>70</v>
      </c>
      <c r="O3" s="2">
        <v>0.75</v>
      </c>
    </row>
    <row r="4" spans="2:15" x14ac:dyDescent="0.25">
      <c r="B4" t="s">
        <v>72</v>
      </c>
      <c r="D4" t="s">
        <v>147</v>
      </c>
      <c r="F4" t="s">
        <v>141</v>
      </c>
      <c r="I4" t="s">
        <v>141</v>
      </c>
      <c r="J4" t="s">
        <v>73</v>
      </c>
      <c r="K4" t="s">
        <v>74</v>
      </c>
      <c r="L4" t="s">
        <v>144</v>
      </c>
      <c r="M4" t="s">
        <v>141</v>
      </c>
      <c r="O4" s="2">
        <v>0.5</v>
      </c>
    </row>
    <row r="5" spans="2:15" x14ac:dyDescent="0.25">
      <c r="B5" t="s">
        <v>75</v>
      </c>
      <c r="D5" t="s">
        <v>145</v>
      </c>
      <c r="F5" t="s">
        <v>76</v>
      </c>
      <c r="I5" t="s">
        <v>76</v>
      </c>
      <c r="J5" t="s">
        <v>77</v>
      </c>
      <c r="K5" t="s">
        <v>78</v>
      </c>
      <c r="L5" t="s">
        <v>139</v>
      </c>
      <c r="M5" t="s">
        <v>76</v>
      </c>
      <c r="O5" s="2">
        <v>0.25</v>
      </c>
    </row>
    <row r="6" spans="2:15" x14ac:dyDescent="0.25">
      <c r="D6" t="s">
        <v>146</v>
      </c>
      <c r="F6" t="s">
        <v>12</v>
      </c>
      <c r="I6" t="s">
        <v>12</v>
      </c>
      <c r="J6" t="s">
        <v>79</v>
      </c>
      <c r="K6" t="s">
        <v>142</v>
      </c>
      <c r="L6" t="s">
        <v>148</v>
      </c>
      <c r="M6" t="s">
        <v>12</v>
      </c>
      <c r="O6" s="2" t="s">
        <v>80</v>
      </c>
    </row>
    <row r="7" spans="2:15" x14ac:dyDescent="0.25">
      <c r="F7" t="s">
        <v>71</v>
      </c>
      <c r="M7" t="s">
        <v>71</v>
      </c>
      <c r="O7" s="2" t="s">
        <v>81</v>
      </c>
    </row>
    <row r="8" spans="2:15" x14ac:dyDescent="0.25">
      <c r="F8" t="s">
        <v>73</v>
      </c>
      <c r="M8" t="s">
        <v>73</v>
      </c>
    </row>
    <row r="9" spans="2:15" x14ac:dyDescent="0.25">
      <c r="F9" t="s">
        <v>77</v>
      </c>
      <c r="M9" t="s">
        <v>77</v>
      </c>
    </row>
    <row r="10" spans="2:15" x14ac:dyDescent="0.25">
      <c r="F10" t="s">
        <v>79</v>
      </c>
      <c r="I10" t="s">
        <v>82</v>
      </c>
      <c r="M10" t="s">
        <v>79</v>
      </c>
    </row>
    <row r="11" spans="2:15" x14ac:dyDescent="0.25">
      <c r="F11" t="s">
        <v>140</v>
      </c>
      <c r="I11">
        <v>252</v>
      </c>
      <c r="J11">
        <v>197</v>
      </c>
      <c r="K11">
        <v>176</v>
      </c>
      <c r="L11">
        <v>223</v>
      </c>
      <c r="M11" t="s">
        <v>140</v>
      </c>
    </row>
    <row r="12" spans="2:15" x14ac:dyDescent="0.25">
      <c r="F12" t="s">
        <v>74</v>
      </c>
      <c r="I12">
        <v>209</v>
      </c>
      <c r="J12">
        <v>222</v>
      </c>
      <c r="K12">
        <v>203</v>
      </c>
      <c r="L12">
        <v>142</v>
      </c>
      <c r="M12" t="s">
        <v>74</v>
      </c>
    </row>
    <row r="13" spans="2:15" x14ac:dyDescent="0.25">
      <c r="F13" t="s">
        <v>78</v>
      </c>
      <c r="I13">
        <v>99</v>
      </c>
      <c r="J13">
        <v>239</v>
      </c>
      <c r="K13">
        <v>169</v>
      </c>
      <c r="L13">
        <v>120</v>
      </c>
      <c r="M13" t="s">
        <v>78</v>
      </c>
    </row>
    <row r="14" spans="2:15" x14ac:dyDescent="0.25">
      <c r="F14" t="s">
        <v>142</v>
      </c>
      <c r="M14" t="s">
        <v>142</v>
      </c>
    </row>
    <row r="15" spans="2:15" x14ac:dyDescent="0.25">
      <c r="F15" t="s">
        <v>143</v>
      </c>
      <c r="M15" t="s">
        <v>143</v>
      </c>
    </row>
    <row r="16" spans="2:15" x14ac:dyDescent="0.25">
      <c r="F16" t="s">
        <v>144</v>
      </c>
      <c r="M16" t="s">
        <v>144</v>
      </c>
    </row>
    <row r="17" spans="6:13" x14ac:dyDescent="0.25">
      <c r="F17" t="s">
        <v>139</v>
      </c>
      <c r="M17" t="s">
        <v>139</v>
      </c>
    </row>
    <row r="18" spans="6:13" x14ac:dyDescent="0.25">
      <c r="F18" t="s">
        <v>148</v>
      </c>
      <c r="M18" t="s">
        <v>148</v>
      </c>
    </row>
    <row r="23" spans="6:13" x14ac:dyDescent="0.25">
      <c r="I23" s="23" t="s">
        <v>89</v>
      </c>
    </row>
    <row r="24" spans="6:13" x14ac:dyDescent="0.25">
      <c r="I24" t="b">
        <f>OR(AND($D10="Finance",$E10="Even better cost management"),AND($D10="Finance",$E10="Improve earnings"),AND($D10="Finance",$E10="Sales Growth"),AND($D10="Finance",$E10="Expansion"))</f>
        <v>0</v>
      </c>
    </row>
    <row r="25" spans="6:13" x14ac:dyDescent="0.25">
      <c r="I25" t="b">
        <f>OR(AND($D10="Customer first",$E10="Reliable product quality"),AND($D10="Customer first",$E10="Easy shopping"),AND($D10="Customer first",$E10="Competent service"),AND($D10="Customer first",$E10="Seamless cross channel"))</f>
        <v>0</v>
      </c>
    </row>
    <row r="26" spans="6:13" x14ac:dyDescent="0.25">
      <c r="I26" t="b">
        <f>OR(AND($D10="Internal processes",$E10="Balanced flow of goods"),AND($D10="Internal processes",$E10="Relevant assortment"),AND($D10="Internal processes",$E10="Attractive stores"),AND($D10="Internal processes",$E10="Effective marketing"))</f>
        <v>0</v>
      </c>
    </row>
    <row r="27" spans="6:13" x14ac:dyDescent="0.25">
      <c r="I27" t="b">
        <f>OR(AND($D10="Employees &amp; learning",$E10="Strong talent pipeline"),AND($D10="Employees &amp; learning",$E10="Relevant training"),AND($D10="Employees &amp; learning",$E10="Great store management"),AND($D10="Employees &amp; learning",$E10="Attractive place to work"))</f>
        <v>0</v>
      </c>
    </row>
  </sheetData>
  <pageMargins left="0.7" right="0.7" top="0.75" bottom="0.75" header="0.3" footer="0.3"/>
  <customProperties>
    <customPr name="_pios_id" r:id="rId1"/>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A2C01967E4E464BBB6C0AB29EE525EF" ma:contentTypeVersion="16" ma:contentTypeDescription="Opret et nyt dokument." ma:contentTypeScope="" ma:versionID="35a15fb349ed89d624e80513de1777f1">
  <xsd:schema xmlns:xsd="http://www.w3.org/2001/XMLSchema" xmlns:xs="http://www.w3.org/2001/XMLSchema" xmlns:p="http://schemas.microsoft.com/office/2006/metadata/properties" xmlns:ns2="9463476a-0ad1-4c53-be20-8c7e4c4d83c9" xmlns:ns3="d51393d2-0e58-411e-9cfa-5c0d2419373b" targetNamespace="http://schemas.microsoft.com/office/2006/metadata/properties" ma:root="true" ma:fieldsID="79a7c39c046ebd22f6bcd520b063d00a" ns2:_="" ns3:_="">
    <xsd:import namespace="9463476a-0ad1-4c53-be20-8c7e4c4d83c9"/>
    <xsd:import namespace="d51393d2-0e58-411e-9cfa-5c0d2419373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63476a-0ad1-4c53-be20-8c7e4c4d83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Billedmærker" ma:readOnly="false" ma:fieldId="{5cf76f15-5ced-4ddc-b409-7134ff3c332f}" ma:taxonomyMulti="true" ma:sspId="6836f7bf-85e3-4815-a138-6d261d50c48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1393d2-0e58-411e-9cfa-5c0d2419373b" elementFormDefault="qualified">
    <xsd:import namespace="http://schemas.microsoft.com/office/2006/documentManagement/types"/>
    <xsd:import namespace="http://schemas.microsoft.com/office/infopath/2007/PartnerControls"/>
    <xsd:element name="SharedWithUsers" ma:index="10"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lt med detaljer" ma:internalName="SharedWithDetails" ma:readOnly="true">
      <xsd:simpleType>
        <xsd:restriction base="dms:Note">
          <xsd:maxLength value="255"/>
        </xsd:restriction>
      </xsd:simpleType>
    </xsd:element>
    <xsd:element name="TaxCatchAll" ma:index="21" nillable="true" ma:displayName="Taxonomy Catch All Column" ma:hidden="true" ma:list="{f6474094-2f98-4e67-8033-39e47bc50f8d}" ma:internalName="TaxCatchAll" ma:showField="CatchAllData" ma:web="d51393d2-0e58-411e-9cfa-5c0d24193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51393d2-0e58-411e-9cfa-5c0d2419373b" xsi:nil="true"/>
    <lcf76f155ced4ddcb4097134ff3c332f xmlns="9463476a-0ad1-4c53-be20-8c7e4c4d83c9">
      <Terms xmlns="http://schemas.microsoft.com/office/infopath/2007/PartnerControls"/>
    </lcf76f155ced4ddcb4097134ff3c332f>
  </documentManagement>
</p:properties>
</file>

<file path=customXml/item3.xml><?xml version="1.0" encoding="utf-8"?>
<Application xmlns="http://www.sap.com/cof/excel/application">
  <Version>2</Version>
  <Revision>2.7.201.85348</Revision>
</Application>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E5AF98-2FAF-4C07-A35A-8F9F6338BC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63476a-0ad1-4c53-be20-8c7e4c4d83c9"/>
    <ds:schemaRef ds:uri="d51393d2-0e58-411e-9cfa-5c0d24193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0B6AF5-8324-44AD-8276-3CB63603E6EC}">
  <ds:schemaRefs>
    <ds:schemaRef ds:uri="http://www.w3.org/XML/1998/namespace"/>
    <ds:schemaRef ds:uri="http://purl.org/dc/terms/"/>
    <ds:schemaRef ds:uri="http://purl.org/dc/elements/1.1/"/>
    <ds:schemaRef ds:uri="http://schemas.openxmlformats.org/package/2006/metadata/core-properties"/>
    <ds:schemaRef ds:uri="http://schemas.microsoft.com/office/infopath/2007/PartnerControls"/>
    <ds:schemaRef ds:uri="9463476a-0ad1-4c53-be20-8c7e4c4d83c9"/>
    <ds:schemaRef ds:uri="http://purl.org/dc/dcmitype/"/>
    <ds:schemaRef ds:uri="http://schemas.microsoft.com/office/2006/documentManagement/types"/>
    <ds:schemaRef ds:uri="http://schemas.microsoft.com/office/2006/metadata/properties"/>
    <ds:schemaRef ds:uri="d51393d2-0e58-411e-9cfa-5c0d2419373b"/>
  </ds:schemaRefs>
</ds:datastoreItem>
</file>

<file path=customXml/itemProps3.xml><?xml version="1.0" encoding="utf-8"?>
<ds:datastoreItem xmlns:ds="http://schemas.openxmlformats.org/officeDocument/2006/customXml" ds:itemID="{1B5211D8-D57C-482F-838B-905013461551}">
  <ds:schemaRefs>
    <ds:schemaRef ds:uri="http://www.sap.com/cof/excel/application"/>
  </ds:schemaRefs>
</ds:datastoreItem>
</file>

<file path=customXml/itemProps4.xml><?xml version="1.0" encoding="utf-8"?>
<ds:datastoreItem xmlns:ds="http://schemas.openxmlformats.org/officeDocument/2006/customXml" ds:itemID="{31237E88-F9F2-4E87-8A01-6AF703DD43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BP Actions</vt:lpstr>
      <vt:lpstr>High-level overview</vt:lpstr>
      <vt:lpstr>Quick guide</vt:lpstr>
      <vt:lpstr>Backend</vt:lpstr>
      <vt:lpstr>_</vt:lpstr>
      <vt:lpstr>Customer_First_</vt:lpstr>
      <vt:lpstr>Employees___Learning_</vt:lpstr>
      <vt:lpstr>Finance_</vt:lpstr>
      <vt:lpstr>Internal_processes_</vt:lpstr>
      <vt:lpstr>Table1</vt:lpstr>
    </vt:vector>
  </TitlesOfParts>
  <Company>JYSK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Nicolai Høgh</dc:creator>
  <cp:lastModifiedBy>Ivan Protega</cp:lastModifiedBy>
  <cp:lastPrinted>2020-03-31T09:51:28Z</cp:lastPrinted>
  <dcterms:created xsi:type="dcterms:W3CDTF">2020-03-31T05:39:19Z</dcterms:created>
  <dcterms:modified xsi:type="dcterms:W3CDTF">2024-07-31T15:08:50Z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ContentTypeId">
    <vt:lpwstr>0x0101002A2C01967E4E464BBB6C0AB29EE525EF</vt:lpwstr>
  </property>
  <property fmtid="{D5CDD505-2E9C-101B-9397-08002B2CF9AE}" pid="4" name="MediaServiceImageTags">
    <vt:lpwstr/>
  </property>
</Properties>
</file>